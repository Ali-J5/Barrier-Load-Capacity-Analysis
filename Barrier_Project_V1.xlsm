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5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6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ijebril\source\repos\Barrier_Project_Research\"/>
    </mc:Choice>
  </mc:AlternateContent>
  <xr:revisionPtr revIDLastSave="0" documentId="13_ncr:1_{3E1AEA48-0D9B-479E-A441-6BB95FC5CDBA}" xr6:coauthVersionLast="47" xr6:coauthVersionMax="47" xr10:uidLastSave="{00000000-0000-0000-0000-000000000000}"/>
  <bookViews>
    <workbookView xWindow="0" yWindow="0" windowWidth="21645" windowHeight="12885" xr2:uid="{00000000-000D-0000-FFFF-FFFF00000000}"/>
  </bookViews>
  <sheets>
    <sheet name="Section" sheetId="1" r:id="rId1"/>
    <sheet name="Reinforcement" sheetId="2" r:id="rId2"/>
    <sheet name="Loads" sheetId="4" r:id="rId3"/>
    <sheet name="Materials" sheetId="3" r:id="rId4"/>
    <sheet name="AASHTO" sheetId="6" r:id="rId5"/>
    <sheet name="Yield Line Analysis" sheetId="5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<sst xmlns="http://schemas.openxmlformats.org/spreadsheetml/2006/main" count="324" uniqueCount="249">
  <si>
    <t>CROSS SECTION GEOMETRY DESIGN</t>
  </si>
  <si>
    <t>STANDARD</t>
  </si>
  <si>
    <t>SUB-STANDARD</t>
  </si>
  <si>
    <t>CUSTOM</t>
  </si>
  <si>
    <t>SELECT BARRIER TYPE:</t>
  </si>
  <si>
    <t>in</t>
  </si>
  <si>
    <t>Calculated Regions</t>
  </si>
  <si>
    <t>Calculated Sections</t>
  </si>
  <si>
    <t>Height</t>
  </si>
  <si>
    <t>Sections Width</t>
  </si>
  <si>
    <t>Sections Depth</t>
  </si>
  <si>
    <t>Sections Y_Left</t>
  </si>
  <si>
    <t>Slice Depth</t>
  </si>
  <si>
    <t>Slice Width</t>
  </si>
  <si>
    <t>Barrier Calculations</t>
  </si>
  <si>
    <t>Regions:</t>
  </si>
  <si>
    <t>Sections:</t>
  </si>
  <si>
    <t>#</t>
  </si>
  <si>
    <t>Longitudinal Steel</t>
  </si>
  <si>
    <t>Bar 1:</t>
  </si>
  <si>
    <t>Bar 2:</t>
  </si>
  <si>
    <t>Bar 3:</t>
  </si>
  <si>
    <t>Bar 4:</t>
  </si>
  <si>
    <t>Bar 5:</t>
  </si>
  <si>
    <t>Bar 6:</t>
  </si>
  <si>
    <t>Bar 7:</t>
  </si>
  <si>
    <t>Bar 8:</t>
  </si>
  <si>
    <t>Bar 9:</t>
  </si>
  <si>
    <t>Cover</t>
  </si>
  <si>
    <t>Bars</t>
  </si>
  <si>
    <t>Bar#</t>
  </si>
  <si>
    <t>Face</t>
  </si>
  <si>
    <t>↓</t>
  </si>
  <si>
    <t>Number of Bars in Cross Section    →</t>
  </si>
  <si>
    <t>Diameter #</t>
  </si>
  <si>
    <t>Transverse Steel</t>
  </si>
  <si>
    <t>Bar #</t>
  </si>
  <si>
    <t>Depth (z)</t>
  </si>
  <si>
    <t>Front Face Cover</t>
  </si>
  <si>
    <t xml:space="preserve">          Bar 10:</t>
  </si>
  <si>
    <r>
      <rPr>
        <b/>
        <sz val="8"/>
        <color theme="1"/>
        <rFont val="Aptos Slab ExtraBold"/>
        <family val="2"/>
      </rPr>
      <t>↓</t>
    </r>
    <r>
      <rPr>
        <b/>
        <sz val="11"/>
        <color theme="1"/>
        <rFont val="Aptos Slab ExtraBold"/>
        <family val="2"/>
      </rPr>
      <t xml:space="preserve">        Area #</t>
    </r>
  </si>
  <si>
    <t>Single or Double</t>
  </si>
  <si>
    <t>Spacing</t>
  </si>
  <si>
    <t>Mild Steel Reinforcement Table</t>
  </si>
  <si>
    <t>Size</t>
  </si>
  <si>
    <t>Area</t>
  </si>
  <si>
    <t>Diameter</t>
  </si>
  <si>
    <t>No.</t>
  </si>
  <si>
    <t>None</t>
  </si>
  <si>
    <t># 3</t>
  </si>
  <si>
    <t># 4</t>
  </si>
  <si>
    <t># 5</t>
  </si>
  <si>
    <t># 6</t>
  </si>
  <si>
    <t># 7</t>
  </si>
  <si>
    <t># 8</t>
  </si>
  <si>
    <t>N/A</t>
  </si>
  <si>
    <t>X</t>
  </si>
  <si>
    <t>SUB-STANDARD BARRIER</t>
  </si>
  <si>
    <t>Slice Height</t>
  </si>
  <si>
    <t>Bar</t>
  </si>
  <si>
    <t>Face 1 Cover</t>
  </si>
  <si>
    <t>Face 2 Cover</t>
  </si>
  <si>
    <t>Barrier Width</t>
  </si>
  <si>
    <t>Barrier Y_Left</t>
  </si>
  <si>
    <t>Bar Face</t>
  </si>
  <si>
    <t>Centered (T/F)</t>
  </si>
  <si>
    <t>Regions</t>
  </si>
  <si>
    <t>Area (F1)</t>
  </si>
  <si>
    <t>Area (F2)</t>
  </si>
  <si>
    <t>AreaCov(F1)</t>
  </si>
  <si>
    <t>AreaCov(F2)</t>
  </si>
  <si>
    <t>AreaDis(F1)</t>
  </si>
  <si>
    <t>AreaDis(F2)</t>
  </si>
  <si>
    <t>CovAve(F1)</t>
  </si>
  <si>
    <t>CovAve(F2)</t>
  </si>
  <si>
    <t>Depth(100)</t>
  </si>
  <si>
    <t>Slice</t>
  </si>
  <si>
    <t>d (F1)</t>
  </si>
  <si>
    <t>d (F2)</t>
  </si>
  <si>
    <t>Dis_Area (F1)</t>
  </si>
  <si>
    <t>Dis_Area(F2)</t>
  </si>
  <si>
    <t>Section 1</t>
  </si>
  <si>
    <t>Section 2</t>
  </si>
  <si>
    <t>Section 3</t>
  </si>
  <si>
    <t>Section 4</t>
  </si>
  <si>
    <t>Double</t>
  </si>
  <si>
    <t>Single</t>
  </si>
  <si>
    <t>Section Width</t>
  </si>
  <si>
    <t>Section Depth</t>
  </si>
  <si>
    <t>Area Steel (F1)</t>
  </si>
  <si>
    <t>Transverse Steel Data</t>
  </si>
  <si>
    <t>Longitudinal Steel Data</t>
  </si>
  <si>
    <t>Concrete Material Properties</t>
  </si>
  <si>
    <r>
      <t>f</t>
    </r>
    <r>
      <rPr>
        <b/>
        <sz val="10"/>
        <rFont val="Comic Sans MS"/>
        <family val="4"/>
      </rPr>
      <t>'</t>
    </r>
    <r>
      <rPr>
        <b/>
        <vertAlign val="subscript"/>
        <sz val="10"/>
        <rFont val="Comic Sans MS"/>
        <family val="4"/>
      </rPr>
      <t>c</t>
    </r>
  </si>
  <si>
    <t xml:space="preserve">  ksi</t>
  </si>
  <si>
    <r>
      <t>f</t>
    </r>
    <r>
      <rPr>
        <b/>
        <vertAlign val="subscript"/>
        <sz val="10"/>
        <rFont val="Comic Sans MS"/>
        <family val="4"/>
      </rPr>
      <t>R</t>
    </r>
  </si>
  <si>
    <t>Steel Material Properties</t>
  </si>
  <si>
    <r>
      <t>f</t>
    </r>
    <r>
      <rPr>
        <b/>
        <i/>
        <sz val="8"/>
        <rFont val="Comic Sans MS"/>
        <family val="4"/>
      </rPr>
      <t>y</t>
    </r>
  </si>
  <si>
    <t>MxSum :</t>
  </si>
  <si>
    <t>Uniform Load</t>
  </si>
  <si>
    <t>Lt =</t>
  </si>
  <si>
    <t xml:space="preserve">  in</t>
  </si>
  <si>
    <t xml:space="preserve">    Concentrated Load</t>
  </si>
  <si>
    <t>Yield Line Analysis</t>
  </si>
  <si>
    <t>Minium Angle:</t>
  </si>
  <si>
    <t>Barrier Without Reinforcement</t>
  </si>
  <si>
    <t xml:space="preserve">  ft</t>
  </si>
  <si>
    <t>Barrier With Reinforcement</t>
  </si>
  <si>
    <t xml:space="preserve">             DISTRIBUTION READINGS           =&gt;</t>
  </si>
  <si>
    <t xml:space="preserve">Mz  </t>
  </si>
  <si>
    <t xml:space="preserve">Mx  </t>
  </si>
  <si>
    <t xml:space="preserve">Lc  </t>
  </si>
  <si>
    <t xml:space="preserve">Rw  </t>
  </si>
  <si>
    <t>MzSum ( Face 1 ) :</t>
  </si>
  <si>
    <t>MzSum ( Face 2 ) :</t>
  </si>
  <si>
    <t>Y</t>
  </si>
  <si>
    <t xml:space="preserve">Lc: </t>
  </si>
  <si>
    <t>Steel Bar Chart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</si>
  <si>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</si>
  <si>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</si>
  <si>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</si>
  <si>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</si>
  <si>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</si>
  <si>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</si>
  <si>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</si>
  <si>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</si>
  <si>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</si>
  <si>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</si>
  <si>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TABLE 3. Sectional Capacity by AASHTO's Procedure of YLA</t>
  </si>
  <si>
    <t>Bar ID</t>
  </si>
  <si>
    <r>
      <t>Area (in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>)</t>
    </r>
  </si>
  <si>
    <r>
      <t>Area Total (in</t>
    </r>
    <r>
      <rPr>
        <vertAlign val="superscript"/>
        <sz val="11"/>
        <color theme="1"/>
        <rFont val="Aptos Narrow"/>
        <family val="2"/>
        <scheme val="minor"/>
      </rPr>
      <t>2</t>
    </r>
    <r>
      <rPr>
        <sz val="11"/>
        <color theme="1"/>
        <rFont val="Aptos Narrow"/>
        <family val="2"/>
        <scheme val="minor"/>
      </rPr>
      <t>)</t>
    </r>
  </si>
  <si>
    <t>Cover (in)</t>
  </si>
  <si>
    <t>Average Cover (in)</t>
  </si>
  <si>
    <t>d (in)</t>
  </si>
  <si>
    <t>a (in)</t>
  </si>
  <si>
    <t>Mz, Mx at Sections</t>
  </si>
  <si>
    <r>
      <t>Barrier Mz</t>
    </r>
    <r>
      <rPr>
        <vertAlign val="superscript"/>
        <sz val="11"/>
        <color theme="1"/>
        <rFont val="Aptos Narrow"/>
        <family val="2"/>
        <scheme val="minor"/>
      </rPr>
      <t>3</t>
    </r>
    <r>
      <rPr>
        <sz val="11"/>
        <color theme="1"/>
        <rFont val="Aptos Narrow"/>
        <family val="2"/>
        <scheme val="minor"/>
      </rPr>
      <t>, Mx</t>
    </r>
    <r>
      <rPr>
        <vertAlign val="superscript"/>
        <sz val="11"/>
        <color theme="1"/>
        <rFont val="Aptos Narrow"/>
        <family val="2"/>
        <scheme val="minor"/>
      </rPr>
      <t>4</t>
    </r>
  </si>
  <si>
    <t>Region 1 (0-22")</t>
  </si>
  <si>
    <t>Region 2 (22-32")</t>
  </si>
  <si>
    <t xml:space="preserve">           Region 1 (0-22")</t>
  </si>
  <si>
    <t>1 stirrup</t>
  </si>
  <si>
    <t>2 stirrups</t>
  </si>
  <si>
    <t xml:space="preserve">               Front Side</t>
  </si>
  <si>
    <t xml:space="preserve">               Back Side</t>
  </si>
  <si>
    <t>Front Side = Back Side</t>
  </si>
  <si>
    <t>Mz (kip-in)</t>
  </si>
  <si>
    <t>Section 1 (at 0")</t>
  </si>
  <si>
    <t>Section 2 (at 22")</t>
  </si>
  <si>
    <t>Section 3 (at 32")</t>
  </si>
  <si>
    <t>SUBSTANDARD BARRIER CASE STUDY</t>
  </si>
  <si>
    <t xml:space="preserve">Barrier Mz  </t>
  </si>
  <si>
    <t xml:space="preserve">Barrier Mx  </t>
  </si>
  <si>
    <t xml:space="preserve">  kip</t>
  </si>
  <si>
    <t xml:space="preserve">  kip-in</t>
  </si>
  <si>
    <t xml:space="preserve">  kip-ft</t>
  </si>
  <si>
    <t>Mx (kip-in/in)</t>
  </si>
  <si>
    <t>Rounded ~0.00</t>
  </si>
  <si>
    <t>Mz, Mx at Sides</t>
  </si>
  <si>
    <t>1 x 0.31</t>
  </si>
  <si>
    <t>2 x 0.31</t>
  </si>
  <si>
    <t>Section 1 (TOP)  Y_Left</t>
  </si>
  <si>
    <t>Section 1 (TOP) Width</t>
  </si>
  <si>
    <t>Section 2  Y_Left</t>
  </si>
  <si>
    <t>Section 3  Y_Left</t>
  </si>
  <si>
    <t>Section 2 Width</t>
  </si>
  <si>
    <t>Section 3 Width</t>
  </si>
  <si>
    <t>Section 4  Y_Left</t>
  </si>
  <si>
    <t>Section 4 Width</t>
  </si>
  <si>
    <t>Section 1 Depth      (z1)</t>
  </si>
  <si>
    <t>Section 2 Depth     (z2)</t>
  </si>
  <si>
    <t>Section 3 Depth     (z3)</t>
  </si>
  <si>
    <t>Section 4 Depth     (z4)</t>
  </si>
  <si>
    <t>REMARKS</t>
  </si>
  <si>
    <t>PROCEDURE:</t>
  </si>
  <si>
    <t>This sheet defines the geometric profile of the barrier.</t>
  </si>
  <si>
    <t>Each slice has a width and height value interpolated.</t>
  </si>
  <si>
    <t>Case Study:</t>
  </si>
  <si>
    <t>The provided inputs and outputs are of the case study.</t>
  </si>
  <si>
    <t>General barrier descriptions are calculated and defined.</t>
  </si>
  <si>
    <t>The barrier is divided into 100, equal height slices.</t>
  </si>
  <si>
    <t>The case study presents a substandard New Jersey barrier.</t>
  </si>
  <si>
    <t>A resulted sample image of the input barrier is provided.</t>
  </si>
  <si>
    <t>Remarks</t>
  </si>
  <si>
    <t xml:space="preserve">Longitudinal and Transverse reinforcements are mapped </t>
  </si>
  <si>
    <t>the barrier geometry. The reinforcements are distributed</t>
  </si>
  <si>
    <t>across the 100 slices, and the area of steel and effective</t>
  </si>
  <si>
    <t>cover is calculated at each depth.</t>
  </si>
  <si>
    <t>The case study presents 7 longitudinal reinforcements</t>
  </si>
  <si>
    <t>spaced along the barrier. The reinforments include two</t>
  </si>
  <si>
    <t xml:space="preserve">different bar types, and a bar along a regional boundary. </t>
  </si>
  <si>
    <t>The case study also presents transverse reinforcements,</t>
  </si>
  <si>
    <t>with single stirrups along the first and third sections, and</t>
  </si>
  <si>
    <t>a double stirrup along the second section, all of which</t>
  </si>
  <si>
    <t>spaced at 12 inches. The provided inputs and outputs are</t>
  </si>
  <si>
    <t>of the case study.</t>
  </si>
  <si>
    <t>The barrier consists of 3 sections and a height of 32 inches.</t>
  </si>
  <si>
    <t>Stirrup (d)</t>
  </si>
  <si>
    <t xml:space="preserve">Section 1 Depth Stirrup/s </t>
  </si>
  <si>
    <t xml:space="preserve">Section 2 Depth Stirrup/s </t>
  </si>
  <si>
    <t xml:space="preserve">Section 3 Depth Stirrup/s </t>
  </si>
  <si>
    <t xml:space="preserve">Section 4 Depth Stirrup/s </t>
  </si>
  <si>
    <t xml:space="preserve">  If Applicable</t>
  </si>
  <si>
    <t>Procedure:</t>
  </si>
  <si>
    <t>The collision load profile is defined as either</t>
  </si>
  <si>
    <t xml:space="preserve">Uniformly distributed or Concentrated. This </t>
  </si>
  <si>
    <t>uniform loads, a width of impact, Lt, is defined.</t>
  </si>
  <si>
    <t>selection determines the type of impact force. For</t>
  </si>
  <si>
    <t>The case study presents a Uniform Load profile, with</t>
  </si>
  <si>
    <t>a width of collision, Lt, of 42 inches or 3.5 feet.</t>
  </si>
  <si>
    <t xml:space="preserve">Procedure: </t>
  </si>
  <si>
    <t>barrier.</t>
  </si>
  <si>
    <t>This sheet introduces calculations determining</t>
  </si>
  <si>
    <t>the strength of the barrier. The strength of the</t>
  </si>
  <si>
    <t>100 slices is calculated and summed. The</t>
  </si>
  <si>
    <t>stirrup strength at each section is also</t>
  </si>
  <si>
    <t>calculated, and accounted for across the entire</t>
  </si>
  <si>
    <t>The Case Study presents concrete strength limits</t>
  </si>
  <si>
    <t>of 4 ksi for compressive strength and 0.47434 ksi</t>
  </si>
  <si>
    <t>for cracking strength. 60 ksi is utilized for the steel</t>
  </si>
  <si>
    <t>yield strength. The provided inputs and outputs are</t>
  </si>
  <si>
    <t>This sheet applies a structural evaluation ulitizing</t>
  </si>
  <si>
    <t>AASHTO specifications. For barriers with reinforcement,</t>
  </si>
  <si>
    <t>Moments are found across the barrier. Then, the critical</t>
  </si>
  <si>
    <t>length of yield line failure (Lc) and total transverse</t>
  </si>
  <si>
    <t>resistance (Rw) are calculated. For barriers without</t>
  </si>
  <si>
    <t xml:space="preserve">reinforcement, the same approach is applied. However, </t>
  </si>
  <si>
    <t>the barrier relies on the tensile strength of the concrete</t>
  </si>
  <si>
    <t>itself, so a Fr value is substituted.</t>
  </si>
  <si>
    <t>Study. Through the written walkthrough of the calculations,</t>
  </si>
  <si>
    <t>and the Table provided from the thesis, its noted that some</t>
  </si>
  <si>
    <t>values are precise while others possess a 1-3% margin of</t>
  </si>
  <si>
    <t>error. The provided outputs are of the Case Study as well.</t>
  </si>
  <si>
    <t>Table 3 on the right presents all the calculations of the Case</t>
  </si>
  <si>
    <t>Ft</t>
  </si>
  <si>
    <t>Ft Minimum Case:</t>
  </si>
  <si>
    <t>kips per inch</t>
  </si>
  <si>
    <t>inches</t>
  </si>
  <si>
    <t>Degree</t>
  </si>
  <si>
    <t>The program iterates through all 89 potential</t>
  </si>
  <si>
    <t>angles to find the Minimum work to yield failure</t>
  </si>
  <si>
    <t>in the barrier. The critical length of failure is also</t>
  </si>
  <si>
    <t>derived.</t>
  </si>
  <si>
    <t>The provided inputs and outputs are from the</t>
  </si>
  <si>
    <t>specific case ( Lt = 42 inches ) that we previously</t>
  </si>
  <si>
    <t>tested. Important to note that the previous version</t>
  </si>
  <si>
    <t>of the program found the Minimum angle to be 39</t>
  </si>
  <si>
    <t>with a case of 77.414 kips per inch. Again, a small</t>
  </si>
  <si>
    <t>margin of error is present.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</si>
</sst>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5" x14ac:knownFonts="1">
    <font>
      <sz val="11"/>
      <color theme="1"/>
      <name val="Aptos Narrow"/>
      <family val="2"/>
      <scheme val="minor"/>
    </font>
    <font>
      <sz val="11"/>
      <color theme="1"/>
      <name val="Aptos Black"/>
      <family val="2"/>
    </font>
    <font>
      <u/>
      <sz val="11"/>
      <color rgb="FF002060"/>
      <name val="Aptos Black"/>
      <family val="2"/>
    </font>
    <font>
      <u/>
      <sz val="11"/>
      <color theme="8" tint="-0.249977111117893"/>
      <name val="Aptos Slab Black"/>
      <family val="2"/>
    </font>
    <font>
      <sz val="8"/>
      <color theme="1"/>
      <name val="ADLaM Display"/>
    </font>
    <font>
      <sz val="8"/>
      <color rgb="FF000000"/>
      <name val="Segoe UI"/>
      <family val="2"/>
    </font>
    <font>
      <b/>
      <sz val="11"/>
      <color theme="1"/>
      <name val="ADLaM Display"/>
    </font>
    <font>
      <sz val="11"/>
      <color theme="1"/>
      <name val="Aptos ExtraBold"/>
      <family val="2"/>
    </font>
    <font>
      <b/>
      <sz val="11"/>
      <color theme="1"/>
      <name val="Aptos Narrow"/>
      <family val="2"/>
      <scheme val="minor"/>
    </font>
    <font>
      <sz val="11"/>
      <color rgb="FFFF0000"/>
      <name val="ADLaM Display"/>
    </font>
    <font>
      <u/>
      <sz val="11"/>
      <color theme="1"/>
      <name val="Aptos Black"/>
      <family val="2"/>
    </font>
    <font>
      <u/>
      <sz val="14"/>
      <color theme="8" tint="-0.249977111117893"/>
      <name val="Aptos Slab Black"/>
      <family val="2"/>
    </font>
    <font>
      <sz val="11"/>
      <color rgb="FF000000"/>
      <name val="ADLaM Display"/>
    </font>
    <font>
      <sz val="11"/>
      <color theme="1"/>
      <name val="Aptos Slab ExtraBold"/>
      <family val="2"/>
    </font>
    <font>
      <sz val="11"/>
      <color theme="1"/>
      <name val="Aptos Slab SemiBold"/>
      <family val="2"/>
    </font>
    <font>
      <b/>
      <sz val="11"/>
      <color theme="1"/>
      <name val="Aptos Slab ExtraBold"/>
      <family val="2"/>
    </font>
    <font>
      <sz val="10"/>
      <name val="Comic Sans MS"/>
      <family val="4"/>
    </font>
    <font>
      <sz val="16"/>
      <color theme="1"/>
      <name val="Aptos Slab Black"/>
      <family val="2"/>
    </font>
    <font>
      <b/>
      <sz val="8"/>
      <color theme="1"/>
      <name val="Aptos Slab ExtraBold"/>
      <family val="2"/>
    </font>
    <font>
      <sz val="11"/>
      <color theme="1"/>
      <name val="Aptos Slab Light"/>
      <family val="2"/>
    </font>
    <font>
      <sz val="11"/>
      <color theme="1"/>
      <name val="ADLaM Display"/>
    </font>
    <font>
      <u/>
      <sz val="11"/>
      <color theme="1"/>
      <name val="Arial Rounded MT Bold"/>
      <family val="2"/>
    </font>
    <font>
      <sz val="11"/>
      <color theme="1"/>
      <name val="Arial Rounded MT Bold"/>
      <family val="2"/>
    </font>
    <font>
      <u/>
      <sz val="11"/>
      <color theme="1"/>
      <name val="Avenir Next LT Pro Demi"/>
      <family val="2"/>
    </font>
    <font>
      <b/>
      <sz val="10"/>
      <name val="Comic Sans MS"/>
      <family val="4"/>
    </font>
    <font>
      <sz val="10"/>
      <name val="Arial"/>
      <family val="2"/>
    </font>
    <font>
      <b/>
      <i/>
      <sz val="10"/>
      <name val="Comic Sans MS"/>
      <family val="4"/>
    </font>
    <font>
      <b/>
      <vertAlign val="subscript"/>
      <sz val="10"/>
      <name val="Comic Sans MS"/>
      <family val="4"/>
    </font>
    <font>
      <i/>
      <sz val="10"/>
      <name val="Comic Sans MS"/>
      <family val="4"/>
    </font>
    <font>
      <b/>
      <i/>
      <sz val="8"/>
      <name val="Comic Sans MS"/>
      <family val="4"/>
    </font>
    <font>
      <b/>
      <sz val="14"/>
      <name val="Arial"/>
      <family val="2"/>
    </font>
    <font>
      <b/>
      <sz val="10"/>
      <name val="Arial"/>
      <family val="2"/>
    </font>
    <font>
      <b/>
      <sz val="14"/>
      <name val="Arial Rounded MT Bold"/>
      <family val="2"/>
    </font>
    <font>
      <sz val="10"/>
      <name val="Arial Rounded MT Bold"/>
      <family val="2"/>
    </font>
    <font>
      <b/>
      <sz val="11"/>
      <name val="Arial Rounded MT Bold"/>
      <family val="2"/>
    </font>
    <font>
      <b/>
      <sz val="12"/>
      <name val="Comic Sans MS"/>
      <family val="4"/>
    </font>
    <font>
      <b/>
      <sz val="16"/>
      <name val="Comic Sans MS"/>
      <family val="4"/>
    </font>
    <font>
      <sz val="10"/>
      <name val="Symbol"/>
      <family val="1"/>
      <charset val="2"/>
    </font>
    <font>
      <sz val="11"/>
      <name val="Comic Sans MS"/>
      <family val="4"/>
    </font>
    <font>
      <b/>
      <sz val="10"/>
      <name val="Arial Rounded MT Bold"/>
      <family val="2"/>
    </font>
    <font>
      <b/>
      <sz val="11"/>
      <name val="Avenir Next LT Pro Demi"/>
      <family val="2"/>
    </font>
    <font>
      <b/>
      <sz val="12"/>
      <name val="Arial"/>
      <family val="2"/>
    </font>
    <font>
      <vertAlign val="superscript"/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F5F5FF"/>
      <name val="Aptos Narrow"/>
      <family val="2"/>
      <scheme val="minor"/>
    </font>
    <font>
      <sz val="11"/>
      <color theme="1"/>
      <name val="Aptos Narrow"/>
      <family val="2"/>
    </font>
    <font>
      <sz val="11"/>
      <color rgb="FFE5F5FF"/>
      <name val="Aptos Narrow"/>
      <family val="2"/>
      <scheme val="minor"/>
    </font>
    <font>
      <sz val="11"/>
      <color theme="1"/>
      <name val="Times New Roman"/>
      <family val="1"/>
    </font>
    <font>
      <b/>
      <u/>
      <sz val="20"/>
      <color theme="0"/>
      <name val="Aptos Slab ExtraBold"/>
      <family val="2"/>
    </font>
    <font>
      <u/>
      <sz val="20"/>
      <color theme="0"/>
      <name val="Aptos Slab ExtraBold"/>
      <family val="2"/>
    </font>
    <font>
      <b/>
      <sz val="9"/>
      <color theme="1"/>
      <name val="Aptos ExtraBold"/>
      <family val="2"/>
    </font>
    <font>
      <sz val="8"/>
      <color rgb="FFF5F5FF"/>
      <name val="Aptos Narrow"/>
      <family val="2"/>
      <scheme val="minor"/>
    </font>
    <font>
      <sz val="20"/>
      <color theme="0"/>
      <name val="Aptos Slab ExtraBold"/>
      <family val="2"/>
    </font>
    <font>
      <sz val="10"/>
      <name val="Aptos ExtraBold"/>
      <family val="2"/>
    </font>
    <font>
      <sz val="10"/>
      <name val="ADLaM Display"/>
    </font>
  </fonts>
  <fills count="23">
    <fill>
      <patternFill patternType="none"/>
    </fill>
    <fill>
      <patternFill patternType="gray125"/>
    </fill>
    <fill>
      <patternFill patternType="solid">
        <fgColor rgb="FFF5F5FF"/>
        <bgColor indexed="64"/>
      </patternFill>
    </fill>
    <fill>
      <patternFill patternType="solid">
        <fgColor rgb="FFB0E0FF"/>
        <bgColor indexed="64"/>
      </patternFill>
    </fill>
    <fill>
      <patternFill patternType="solid">
        <fgColor rgb="FFF5FAF5"/>
        <bgColor indexed="64"/>
      </patternFill>
    </fill>
    <fill>
      <patternFill patternType="solid">
        <fgColor rgb="FFE5F5FF"/>
        <bgColor indexed="64"/>
      </patternFill>
    </fill>
    <fill>
      <patternFill patternType="solid">
        <fgColor rgb="FFF8FFEF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E5E6FF"/>
        <bgColor indexed="64"/>
      </patternFill>
    </fill>
    <fill>
      <patternFill patternType="gray125">
        <fgColor rgb="FF000000"/>
        <bgColor rgb="FF808080"/>
      </patternFill>
    </fill>
    <fill>
      <patternFill patternType="solid">
        <fgColor rgb="FFFFFF9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5E6FF"/>
        <bgColor rgb="FF000000"/>
      </patternFill>
    </fill>
    <fill>
      <patternFill patternType="solid">
        <fgColor rgb="FFE5F5FF"/>
        <bgColor rgb="FF000000"/>
      </patternFill>
    </fill>
    <fill>
      <patternFill patternType="solid">
        <fgColor rgb="FFF8FFEF"/>
        <bgColor rgb="FF000000"/>
      </patternFill>
    </fill>
    <fill>
      <patternFill patternType="solid">
        <fgColor rgb="FFF5FAF5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FF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5F5FF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5F8FC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57">
    <xf numFmtId="0" fontId="0" fillId="0" borderId="0" xfId="0"/>
    <xf numFmtId="0" fontId="0" fillId="2" borderId="0" xfId="0" applyFill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0" xfId="0" applyFill="1"/>
    <xf numFmtId="0" fontId="6" fillId="4" borderId="0" xfId="0" applyFont="1" applyFill="1" applyAlignment="1">
      <alignment horizontal="center" vertical="center"/>
    </xf>
    <xf numFmtId="0" fontId="0" fillId="4" borderId="6" xfId="0" applyFill="1" applyBorder="1"/>
    <xf numFmtId="0" fontId="0" fillId="4" borderId="5" xfId="0" applyFill="1" applyBorder="1" applyAlignment="1">
      <alignment horizontal="right"/>
    </xf>
    <xf numFmtId="0" fontId="7" fillId="4" borderId="0" xfId="0" applyFont="1" applyFill="1" applyAlignment="1">
      <alignment horizontal="right"/>
    </xf>
    <xf numFmtId="0" fontId="7" fillId="4" borderId="0" xfId="0" applyFont="1" applyFill="1"/>
    <xf numFmtId="0" fontId="0" fillId="4" borderId="7" xfId="0" applyFill="1" applyBorder="1"/>
    <xf numFmtId="0" fontId="0" fillId="4" borderId="8" xfId="0" applyFill="1" applyBorder="1"/>
    <xf numFmtId="0" fontId="0" fillId="4" borderId="9" xfId="0" applyFill="1" applyBorder="1"/>
    <xf numFmtId="0" fontId="0" fillId="5" borderId="2" xfId="0" applyFill="1" applyBorder="1"/>
    <xf numFmtId="0" fontId="0" fillId="5" borderId="3" xfId="0" applyFill="1" applyBorder="1"/>
    <xf numFmtId="0" fontId="3" fillId="5" borderId="3" xfId="0" applyFont="1" applyFill="1" applyBorder="1" applyAlignment="1">
      <alignment horizontal="center"/>
    </xf>
    <xf numFmtId="0" fontId="4" fillId="5" borderId="3" xfId="0" applyFont="1" applyFill="1" applyBorder="1" applyAlignment="1">
      <alignment horizontal="right"/>
    </xf>
    <xf numFmtId="0" fontId="0" fillId="5" borderId="5" xfId="0" applyFill="1" applyBorder="1"/>
    <xf numFmtId="0" fontId="0" fillId="5" borderId="0" xfId="0" applyFill="1"/>
    <xf numFmtId="0" fontId="0" fillId="5" borderId="6" xfId="0" applyFill="1" applyBorder="1"/>
    <xf numFmtId="0" fontId="2" fillId="5" borderId="5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5" borderId="6" xfId="0" applyFill="1" applyBorder="1" applyAlignment="1">
      <alignment horizontal="center"/>
    </xf>
    <xf numFmtId="0" fontId="0" fillId="5" borderId="7" xfId="0" applyFill="1" applyBorder="1"/>
    <xf numFmtId="0" fontId="0" fillId="5" borderId="8" xfId="0" applyFill="1" applyBorder="1"/>
    <xf numFmtId="0" fontId="0" fillId="5" borderId="9" xfId="0" applyFill="1" applyBorder="1"/>
    <xf numFmtId="0" fontId="0" fillId="0" borderId="1" xfId="0" applyBorder="1" applyAlignment="1">
      <alignment horizontal="center"/>
    </xf>
    <xf numFmtId="0" fontId="0" fillId="4" borderId="0" xfId="0" applyFill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8" fillId="4" borderId="5" xfId="0" applyFont="1" applyFill="1" applyBorder="1" applyAlignment="1">
      <alignment horizontal="right" vertical="center"/>
    </xf>
    <xf numFmtId="0" fontId="10" fillId="4" borderId="0" xfId="0" applyFont="1" applyFill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4" borderId="0" xfId="0" applyFill="1" applyAlignment="1">
      <alignment horizontal="left" vertical="center"/>
    </xf>
    <xf numFmtId="0" fontId="11" fillId="4" borderId="0" xfId="0" applyFont="1" applyFill="1" applyAlignment="1">
      <alignment horizontal="left"/>
    </xf>
    <xf numFmtId="0" fontId="10" fillId="4" borderId="0" xfId="0" applyFont="1" applyFill="1" applyAlignment="1">
      <alignment horizontal="right" vertical="center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8" fillId="4" borderId="0" xfId="0" applyFont="1" applyFill="1" applyAlignment="1">
      <alignment horizontal="right" vertical="center"/>
    </xf>
    <xf numFmtId="0" fontId="0" fillId="0" borderId="1" xfId="0" applyBorder="1"/>
    <xf numFmtId="0" fontId="8" fillId="4" borderId="6" xfId="0" applyFont="1" applyFill="1" applyBorder="1"/>
    <xf numFmtId="0" fontId="8" fillId="4" borderId="9" xfId="0" applyFont="1" applyFill="1" applyBorder="1"/>
    <xf numFmtId="0" fontId="0" fillId="5" borderId="14" xfId="0" applyFill="1" applyBorder="1"/>
    <xf numFmtId="0" fontId="17" fillId="5" borderId="15" xfId="0" applyFont="1" applyFill="1" applyBorder="1" applyAlignment="1">
      <alignment horizontal="center"/>
    </xf>
    <xf numFmtId="0" fontId="0" fillId="5" borderId="15" xfId="0" applyFill="1" applyBorder="1"/>
    <xf numFmtId="0" fontId="18" fillId="5" borderId="15" xfId="0" applyFont="1" applyFill="1" applyBorder="1"/>
    <xf numFmtId="0" fontId="0" fillId="5" borderId="16" xfId="0" applyFill="1" applyBorder="1"/>
    <xf numFmtId="0" fontId="0" fillId="5" borderId="17" xfId="0" applyFill="1" applyBorder="1"/>
    <xf numFmtId="0" fontId="13" fillId="5" borderId="0" xfId="0" applyFont="1" applyFill="1"/>
    <xf numFmtId="0" fontId="18" fillId="5" borderId="0" xfId="0" applyFont="1" applyFill="1" applyAlignment="1">
      <alignment vertical="top"/>
    </xf>
    <xf numFmtId="0" fontId="0" fillId="5" borderId="18" xfId="0" applyFill="1" applyBorder="1"/>
    <xf numFmtId="0" fontId="15" fillId="5" borderId="0" xfId="0" applyFont="1" applyFill="1" applyAlignment="1">
      <alignment horizontal="center" vertical="center"/>
    </xf>
    <xf numFmtId="0" fontId="15" fillId="5" borderId="0" xfId="0" applyFont="1" applyFill="1" applyAlignment="1">
      <alignment vertical="center"/>
    </xf>
    <xf numFmtId="0" fontId="18" fillId="5" borderId="0" xfId="0" applyFont="1" applyFill="1" applyAlignment="1">
      <alignment vertical="center"/>
    </xf>
    <xf numFmtId="0" fontId="15" fillId="5" borderId="0" xfId="0" applyFont="1" applyFill="1" applyAlignment="1">
      <alignment horizontal="left" vertical="center"/>
    </xf>
    <xf numFmtId="0" fontId="15" fillId="5" borderId="18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left"/>
    </xf>
    <xf numFmtId="0" fontId="19" fillId="5" borderId="0" xfId="0" applyFont="1" applyFill="1"/>
    <xf numFmtId="0" fontId="0" fillId="5" borderId="18" xfId="0" applyFill="1" applyBorder="1" applyAlignment="1">
      <alignment horizontal="center"/>
    </xf>
    <xf numFmtId="0" fontId="0" fillId="5" borderId="19" xfId="0" applyFill="1" applyBorder="1"/>
    <xf numFmtId="0" fontId="0" fillId="5" borderId="20" xfId="0" applyFill="1" applyBorder="1"/>
    <xf numFmtId="0" fontId="0" fillId="5" borderId="21" xfId="0" applyFill="1" applyBorder="1"/>
    <xf numFmtId="0" fontId="15" fillId="5" borderId="17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/>
    </xf>
    <xf numFmtId="0" fontId="17" fillId="6" borderId="15" xfId="0" applyFont="1" applyFill="1" applyBorder="1" applyAlignment="1">
      <alignment horizontal="center"/>
    </xf>
    <xf numFmtId="0" fontId="19" fillId="6" borderId="0" xfId="0" applyFont="1" applyFill="1"/>
    <xf numFmtId="0" fontId="0" fillId="6" borderId="14" xfId="0" applyFill="1" applyBorder="1"/>
    <xf numFmtId="0" fontId="0" fillId="6" borderId="15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0" xfId="0" applyFill="1"/>
    <xf numFmtId="0" fontId="0" fillId="6" borderId="18" xfId="0" applyFill="1" applyBorder="1"/>
    <xf numFmtId="0" fontId="13" fillId="6" borderId="17" xfId="0" applyFont="1" applyFill="1" applyBorder="1" applyAlignment="1">
      <alignment horizontal="right"/>
    </xf>
    <xf numFmtId="0" fontId="0" fillId="6" borderId="0" xfId="0" applyFill="1" applyAlignment="1">
      <alignment horizontal="right"/>
    </xf>
    <xf numFmtId="0" fontId="0" fillId="6" borderId="19" xfId="0" applyFill="1" applyBorder="1"/>
    <xf numFmtId="0" fontId="0" fillId="6" borderId="20" xfId="0" applyFill="1" applyBorder="1"/>
    <xf numFmtId="0" fontId="0" fillId="6" borderId="21" xfId="0" applyFill="1" applyBorder="1"/>
    <xf numFmtId="0" fontId="14" fillId="6" borderId="17" xfId="0" applyFont="1" applyFill="1" applyBorder="1" applyAlignment="1">
      <alignment horizontal="right"/>
    </xf>
    <xf numFmtId="0" fontId="14" fillId="6" borderId="0" xfId="0" applyFont="1" applyFill="1" applyAlignment="1">
      <alignment horizontal="right"/>
    </xf>
    <xf numFmtId="0" fontId="0" fillId="0" borderId="1" xfId="0" applyBorder="1" applyAlignment="1">
      <alignment horizontal="center" vertical="center"/>
    </xf>
    <xf numFmtId="0" fontId="13" fillId="6" borderId="0" xfId="0" applyFont="1" applyFill="1" applyAlignment="1">
      <alignment horizontal="right"/>
    </xf>
    <xf numFmtId="0" fontId="16" fillId="7" borderId="1" xfId="0" applyFont="1" applyFill="1" applyBorder="1" applyAlignment="1">
      <alignment horizontal="center" vertical="center"/>
    </xf>
    <xf numFmtId="0" fontId="16" fillId="7" borderId="25" xfId="0" applyFont="1" applyFill="1" applyBorder="1" applyAlignment="1">
      <alignment vertical="center"/>
    </xf>
    <xf numFmtId="0" fontId="16" fillId="7" borderId="26" xfId="0" applyFont="1" applyFill="1" applyBorder="1" applyAlignment="1">
      <alignment horizontal="center" vertical="center"/>
    </xf>
    <xf numFmtId="0" fontId="0" fillId="5" borderId="17" xfId="0" applyFill="1" applyBorder="1" applyAlignment="1">
      <alignment horizontal="center"/>
    </xf>
    <xf numFmtId="0" fontId="9" fillId="4" borderId="0" xfId="0" applyFont="1" applyFill="1" applyAlignment="1">
      <alignment horizontal="center" vertical="center"/>
    </xf>
    <xf numFmtId="0" fontId="0" fillId="8" borderId="18" xfId="0" applyFill="1" applyBorder="1"/>
    <xf numFmtId="0" fontId="23" fillId="8" borderId="18" xfId="0" applyFont="1" applyFill="1" applyBorder="1" applyAlignment="1">
      <alignment horizontal="center"/>
    </xf>
    <xf numFmtId="0" fontId="22" fillId="8" borderId="29" xfId="0" applyFont="1" applyFill="1" applyBorder="1" applyAlignment="1">
      <alignment horizontal="center" vertical="center"/>
    </xf>
    <xf numFmtId="0" fontId="0" fillId="8" borderId="20" xfId="0" applyFill="1" applyBorder="1"/>
    <xf numFmtId="0" fontId="0" fillId="8" borderId="0" xfId="0" applyFill="1"/>
    <xf numFmtId="0" fontId="0" fillId="8" borderId="17" xfId="0" applyFill="1" applyBorder="1"/>
    <xf numFmtId="0" fontId="0" fillId="8" borderId="14" xfId="0" applyFill="1" applyBorder="1"/>
    <xf numFmtId="0" fontId="0" fillId="8" borderId="15" xfId="0" applyFill="1" applyBorder="1"/>
    <xf numFmtId="0" fontId="0" fillId="8" borderId="16" xfId="0" applyFill="1" applyBorder="1"/>
    <xf numFmtId="0" fontId="22" fillId="8" borderId="17" xfId="0" applyFont="1" applyFill="1" applyBorder="1" applyAlignment="1">
      <alignment horizontal="center" vertical="center"/>
    </xf>
    <xf numFmtId="0" fontId="23" fillId="8" borderId="0" xfId="0" applyFont="1" applyFill="1" applyAlignment="1">
      <alignment horizontal="center"/>
    </xf>
    <xf numFmtId="0" fontId="0" fillId="8" borderId="21" xfId="0" applyFill="1" applyBorder="1"/>
    <xf numFmtId="0" fontId="22" fillId="8" borderId="0" xfId="0" applyFont="1" applyFill="1" applyAlignment="1">
      <alignment horizontal="left"/>
    </xf>
    <xf numFmtId="0" fontId="0" fillId="8" borderId="19" xfId="0" applyFill="1" applyBorder="1"/>
    <xf numFmtId="0" fontId="0" fillId="8" borderId="0" xfId="0" applyFill="1" applyAlignment="1">
      <alignment horizontal="center"/>
    </xf>
    <xf numFmtId="164" fontId="0" fillId="8" borderId="0" xfId="0" applyNumberFormat="1" applyFill="1" applyAlignment="1">
      <alignment horizontal="center"/>
    </xf>
    <xf numFmtId="0" fontId="0" fillId="8" borderId="18" xfId="0" applyFill="1" applyBorder="1" applyAlignment="1">
      <alignment horizontal="center"/>
    </xf>
    <xf numFmtId="164" fontId="0" fillId="8" borderId="18" xfId="0" applyNumberFormat="1" applyFill="1" applyBorder="1" applyAlignment="1">
      <alignment horizontal="center"/>
    </xf>
    <xf numFmtId="164" fontId="0" fillId="8" borderId="20" xfId="0" applyNumberFormat="1" applyFill="1" applyBorder="1" applyAlignment="1">
      <alignment horizontal="center"/>
    </xf>
    <xf numFmtId="164" fontId="0" fillId="8" borderId="5" xfId="0" applyNumberFormat="1" applyFill="1" applyBorder="1" applyAlignment="1">
      <alignment horizontal="center"/>
    </xf>
    <xf numFmtId="164" fontId="0" fillId="8" borderId="30" xfId="0" applyNumberFormat="1" applyFill="1" applyBorder="1" applyAlignment="1">
      <alignment horizontal="center"/>
    </xf>
    <xf numFmtId="0" fontId="22" fillId="8" borderId="17" xfId="0" applyFont="1" applyFill="1" applyBorder="1"/>
    <xf numFmtId="0" fontId="22" fillId="8" borderId="19" xfId="0" applyFont="1" applyFill="1" applyBorder="1"/>
    <xf numFmtId="0" fontId="22" fillId="8" borderId="29" xfId="0" applyFont="1" applyFill="1" applyBorder="1" applyAlignment="1">
      <alignment horizontal="center"/>
    </xf>
    <xf numFmtId="0" fontId="22" fillId="8" borderId="31" xfId="0" applyFont="1" applyFill="1" applyBorder="1" applyAlignment="1">
      <alignment horizontal="center"/>
    </xf>
    <xf numFmtId="0" fontId="21" fillId="8" borderId="31" xfId="0" applyFont="1" applyFill="1" applyBorder="1" applyAlignment="1">
      <alignment horizontal="center"/>
    </xf>
    <xf numFmtId="0" fontId="21" fillId="8" borderId="17" xfId="0" applyFont="1" applyFill="1" applyBorder="1" applyAlignment="1">
      <alignment horizontal="right"/>
    </xf>
    <xf numFmtId="0" fontId="23" fillId="8" borderId="5" xfId="0" applyFont="1" applyFill="1" applyBorder="1" applyAlignment="1">
      <alignment horizontal="center"/>
    </xf>
    <xf numFmtId="0" fontId="17" fillId="8" borderId="0" xfId="0" applyFont="1" applyFill="1" applyAlignment="1">
      <alignment horizontal="center"/>
    </xf>
    <xf numFmtId="0" fontId="24" fillId="10" borderId="17" xfId="0" applyFont="1" applyFill="1" applyBorder="1" applyAlignment="1">
      <alignment vertical="center"/>
    </xf>
    <xf numFmtId="0" fontId="25" fillId="10" borderId="0" xfId="0" applyFont="1" applyFill="1" applyAlignment="1">
      <alignment vertical="center"/>
    </xf>
    <xf numFmtId="0" fontId="25" fillId="10" borderId="18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28" fillId="10" borderId="18" xfId="0" applyFont="1" applyFill="1" applyBorder="1" applyAlignment="1">
      <alignment vertical="center"/>
    </xf>
    <xf numFmtId="0" fontId="16" fillId="11" borderId="1" xfId="0" applyFont="1" applyFill="1" applyBorder="1" applyAlignment="1">
      <alignment vertical="center"/>
    </xf>
    <xf numFmtId="0" fontId="16" fillId="10" borderId="19" xfId="0" applyFont="1" applyFill="1" applyBorder="1" applyAlignment="1">
      <alignment vertical="center"/>
    </xf>
    <xf numFmtId="0" fontId="16" fillId="10" borderId="20" xfId="0" applyFont="1" applyFill="1" applyBorder="1" applyAlignment="1">
      <alignment vertical="center"/>
    </xf>
    <xf numFmtId="0" fontId="16" fillId="10" borderId="21" xfId="0" applyFont="1" applyFill="1" applyBorder="1" applyAlignment="1">
      <alignment vertical="center"/>
    </xf>
    <xf numFmtId="0" fontId="16" fillId="12" borderId="2" xfId="0" applyFont="1" applyFill="1" applyBorder="1" applyAlignment="1">
      <alignment vertical="center"/>
    </xf>
    <xf numFmtId="0" fontId="24" fillId="12" borderId="3" xfId="0" applyFont="1" applyFill="1" applyBorder="1" applyAlignment="1">
      <alignment horizontal="right" vertical="center"/>
    </xf>
    <xf numFmtId="0" fontId="16" fillId="12" borderId="3" xfId="0" applyFont="1" applyFill="1" applyBorder="1" applyAlignment="1">
      <alignment horizontal="center" vertical="center"/>
    </xf>
    <xf numFmtId="0" fontId="16" fillId="12" borderId="4" xfId="0" applyFont="1" applyFill="1" applyBorder="1" applyAlignment="1">
      <alignment vertical="center"/>
    </xf>
    <xf numFmtId="0" fontId="16" fillId="12" borderId="5" xfId="0" applyFont="1" applyFill="1" applyBorder="1" applyAlignment="1">
      <alignment vertical="center"/>
    </xf>
    <xf numFmtId="0" fontId="24" fillId="12" borderId="0" xfId="0" applyFont="1" applyFill="1" applyAlignment="1">
      <alignment horizontal="right" vertical="center"/>
    </xf>
    <xf numFmtId="0" fontId="16" fillId="12" borderId="6" xfId="0" applyFont="1" applyFill="1" applyBorder="1" applyAlignment="1">
      <alignment vertical="center"/>
    </xf>
    <xf numFmtId="0" fontId="16" fillId="12" borderId="7" xfId="0" applyFont="1" applyFill="1" applyBorder="1" applyAlignment="1">
      <alignment vertical="center"/>
    </xf>
    <xf numFmtId="0" fontId="16" fillId="12" borderId="8" xfId="0" applyFont="1" applyFill="1" applyBorder="1" applyAlignment="1">
      <alignment vertical="center"/>
    </xf>
    <xf numFmtId="0" fontId="16" fillId="12" borderId="9" xfId="0" applyFont="1" applyFill="1" applyBorder="1" applyAlignment="1">
      <alignment vertical="center"/>
    </xf>
    <xf numFmtId="0" fontId="25" fillId="13" borderId="14" xfId="0" applyFont="1" applyFill="1" applyBorder="1"/>
    <xf numFmtId="0" fontId="25" fillId="13" borderId="15" xfId="0" applyFont="1" applyFill="1" applyBorder="1"/>
    <xf numFmtId="0" fontId="25" fillId="13" borderId="16" xfId="0" applyFont="1" applyFill="1" applyBorder="1"/>
    <xf numFmtId="0" fontId="30" fillId="13" borderId="15" xfId="0" applyFont="1" applyFill="1" applyBorder="1" applyAlignment="1">
      <alignment vertical="center"/>
    </xf>
    <xf numFmtId="0" fontId="30" fillId="13" borderId="16" xfId="0" applyFont="1" applyFill="1" applyBorder="1" applyAlignment="1">
      <alignment vertical="center"/>
    </xf>
    <xf numFmtId="0" fontId="25" fillId="13" borderId="17" xfId="0" applyFont="1" applyFill="1" applyBorder="1"/>
    <xf numFmtId="0" fontId="25" fillId="13" borderId="0" xfId="0" applyFont="1" applyFill="1"/>
    <xf numFmtId="0" fontId="25" fillId="13" borderId="18" xfId="0" applyFont="1" applyFill="1" applyBorder="1"/>
    <xf numFmtId="0" fontId="31" fillId="13" borderId="0" xfId="0" applyFont="1" applyFill="1" applyAlignment="1">
      <alignment horizontal="center"/>
    </xf>
    <xf numFmtId="0" fontId="25" fillId="13" borderId="19" xfId="0" applyFont="1" applyFill="1" applyBorder="1"/>
    <xf numFmtId="0" fontId="25" fillId="13" borderId="20" xfId="0" applyFont="1" applyFill="1" applyBorder="1"/>
    <xf numFmtId="0" fontId="25" fillId="13" borderId="21" xfId="0" applyFont="1" applyFill="1" applyBorder="1"/>
    <xf numFmtId="0" fontId="25" fillId="14" borderId="17" xfId="0" applyFont="1" applyFill="1" applyBorder="1"/>
    <xf numFmtId="0" fontId="25" fillId="14" borderId="0" xfId="0" applyFont="1" applyFill="1"/>
    <xf numFmtId="0" fontId="30" fillId="14" borderId="15" xfId="0" applyFont="1" applyFill="1" applyBorder="1" applyAlignment="1">
      <alignment vertical="center"/>
    </xf>
    <xf numFmtId="0" fontId="30" fillId="14" borderId="16" xfId="0" applyFont="1" applyFill="1" applyBorder="1" applyAlignment="1">
      <alignment vertical="center"/>
    </xf>
    <xf numFmtId="0" fontId="30" fillId="14" borderId="0" xfId="0" applyFont="1" applyFill="1" applyAlignment="1">
      <alignment vertical="center"/>
    </xf>
    <xf numFmtId="0" fontId="30" fillId="14" borderId="18" xfId="0" applyFont="1" applyFill="1" applyBorder="1" applyAlignment="1">
      <alignment vertical="center"/>
    </xf>
    <xf numFmtId="0" fontId="25" fillId="14" borderId="18" xfId="0" applyFont="1" applyFill="1" applyBorder="1"/>
    <xf numFmtId="0" fontId="25" fillId="14" borderId="19" xfId="0" applyFont="1" applyFill="1" applyBorder="1"/>
    <xf numFmtId="0" fontId="25" fillId="14" borderId="20" xfId="0" applyFont="1" applyFill="1" applyBorder="1"/>
    <xf numFmtId="0" fontId="25" fillId="14" borderId="21" xfId="0" applyFont="1" applyFill="1" applyBorder="1"/>
    <xf numFmtId="0" fontId="32" fillId="13" borderId="0" xfId="0" applyFont="1" applyFill="1" applyAlignment="1">
      <alignment vertical="center"/>
    </xf>
    <xf numFmtId="0" fontId="33" fillId="14" borderId="0" xfId="0" applyFont="1" applyFill="1"/>
    <xf numFmtId="0" fontId="32" fillId="13" borderId="18" xfId="0" applyFont="1" applyFill="1" applyBorder="1" applyAlignment="1">
      <alignment vertical="center"/>
    </xf>
    <xf numFmtId="0" fontId="33" fillId="14" borderId="17" xfId="0" applyFont="1" applyFill="1" applyBorder="1"/>
    <xf numFmtId="0" fontId="32" fillId="14" borderId="0" xfId="0" applyFont="1" applyFill="1" applyAlignment="1">
      <alignment vertical="center"/>
    </xf>
    <xf numFmtId="0" fontId="33" fillId="14" borderId="18" xfId="0" applyFont="1" applyFill="1" applyBorder="1"/>
    <xf numFmtId="0" fontId="35" fillId="15" borderId="14" xfId="0" applyFont="1" applyFill="1" applyBorder="1" applyAlignment="1">
      <alignment horizontal="center" vertical="center"/>
    </xf>
    <xf numFmtId="0" fontId="32" fillId="15" borderId="15" xfId="0" applyFont="1" applyFill="1" applyBorder="1" applyAlignment="1">
      <alignment horizontal="center" vertical="center"/>
    </xf>
    <xf numFmtId="0" fontId="37" fillId="15" borderId="15" xfId="0" applyFont="1" applyFill="1" applyBorder="1" applyAlignment="1">
      <alignment horizontal="center" vertical="center"/>
    </xf>
    <xf numFmtId="0" fontId="28" fillId="15" borderId="15" xfId="0" applyFont="1" applyFill="1" applyBorder="1" applyAlignment="1">
      <alignment horizontal="center" vertical="center"/>
    </xf>
    <xf numFmtId="0" fontId="16" fillId="15" borderId="15" xfId="0" applyFont="1" applyFill="1" applyBorder="1" applyAlignment="1">
      <alignment horizontal="center" vertical="center"/>
    </xf>
    <xf numFmtId="0" fontId="24" fillId="15" borderId="15" xfId="0" applyFont="1" applyFill="1" applyBorder="1" applyAlignment="1">
      <alignment horizontal="center" vertical="center"/>
    </xf>
    <xf numFmtId="0" fontId="16" fillId="15" borderId="16" xfId="0" applyFont="1" applyFill="1" applyBorder="1" applyAlignment="1">
      <alignment horizontal="center" vertical="center"/>
    </xf>
    <xf numFmtId="0" fontId="35" fillId="15" borderId="17" xfId="0" applyFont="1" applyFill="1" applyBorder="1" applyAlignment="1">
      <alignment horizontal="center" vertical="center"/>
    </xf>
    <xf numFmtId="0" fontId="36" fillId="15" borderId="0" xfId="0" applyFont="1" applyFill="1" applyAlignment="1">
      <alignment horizontal="center" vertical="center"/>
    </xf>
    <xf numFmtId="0" fontId="37" fillId="15" borderId="0" xfId="0" applyFont="1" applyFill="1" applyAlignment="1">
      <alignment horizontal="center" vertical="center"/>
    </xf>
    <xf numFmtId="0" fontId="28" fillId="15" borderId="0" xfId="0" applyFont="1" applyFill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38" fillId="15" borderId="0" xfId="0" applyFont="1" applyFill="1" applyAlignment="1">
      <alignment horizontal="center" vertical="center"/>
    </xf>
    <xf numFmtId="0" fontId="16" fillId="15" borderId="18" xfId="0" applyFont="1" applyFill="1" applyBorder="1" applyAlignment="1">
      <alignment horizontal="center" vertical="center"/>
    </xf>
    <xf numFmtId="0" fontId="34" fillId="15" borderId="17" xfId="0" applyFont="1" applyFill="1" applyBorder="1" applyAlignment="1">
      <alignment horizontal="center" vertical="center"/>
    </xf>
    <xf numFmtId="0" fontId="39" fillId="15" borderId="0" xfId="0" applyFont="1" applyFill="1" applyAlignment="1">
      <alignment horizontal="center" vertical="center"/>
    </xf>
    <xf numFmtId="0" fontId="35" fillId="15" borderId="0" xfId="0" applyFont="1" applyFill="1" applyAlignment="1">
      <alignment horizontal="center" vertical="center"/>
    </xf>
    <xf numFmtId="0" fontId="33" fillId="15" borderId="17" xfId="0" applyFont="1" applyFill="1" applyBorder="1" applyAlignment="1">
      <alignment horizontal="center" vertical="center"/>
    </xf>
    <xf numFmtId="0" fontId="40" fillId="15" borderId="0" xfId="0" applyFont="1" applyFill="1" applyAlignment="1">
      <alignment horizontal="right" vertical="center"/>
    </xf>
    <xf numFmtId="0" fontId="16" fillId="15" borderId="17" xfId="0" applyFont="1" applyFill="1" applyBorder="1" applyAlignment="1">
      <alignment horizontal="center" vertical="center"/>
    </xf>
    <xf numFmtId="0" fontId="16" fillId="15" borderId="19" xfId="0" applyFont="1" applyFill="1" applyBorder="1" applyAlignment="1">
      <alignment horizontal="center" vertical="center"/>
    </xf>
    <xf numFmtId="0" fontId="16" fillId="15" borderId="20" xfId="0" applyFont="1" applyFill="1" applyBorder="1" applyAlignment="1">
      <alignment horizontal="center" vertical="center"/>
    </xf>
    <xf numFmtId="0" fontId="16" fillId="15" borderId="21" xfId="0" applyFont="1" applyFill="1" applyBorder="1" applyAlignment="1">
      <alignment horizontal="center" vertical="center"/>
    </xf>
    <xf numFmtId="0" fontId="16" fillId="16" borderId="1" xfId="0" applyFont="1" applyFill="1" applyBorder="1" applyAlignment="1">
      <alignment horizontal="center" vertical="center"/>
    </xf>
    <xf numFmtId="0" fontId="16" fillId="17" borderId="1" xfId="0" applyFont="1" applyFill="1" applyBorder="1" applyAlignment="1">
      <alignment horizontal="center" vertical="center"/>
    </xf>
    <xf numFmtId="0" fontId="25" fillId="14" borderId="14" xfId="0" applyFont="1" applyFill="1" applyBorder="1"/>
    <xf numFmtId="0" fontId="25" fillId="14" borderId="15" xfId="0" applyFont="1" applyFill="1" applyBorder="1"/>
    <xf numFmtId="0" fontId="25" fillId="14" borderId="16" xfId="0" applyFont="1" applyFill="1" applyBorder="1"/>
    <xf numFmtId="0" fontId="25" fillId="12" borderId="14" xfId="0" applyFont="1" applyFill="1" applyBorder="1"/>
    <xf numFmtId="0" fontId="25" fillId="12" borderId="15" xfId="0" applyFont="1" applyFill="1" applyBorder="1"/>
    <xf numFmtId="0" fontId="25" fillId="12" borderId="16" xfId="0" applyFont="1" applyFill="1" applyBorder="1"/>
    <xf numFmtId="0" fontId="25" fillId="12" borderId="17" xfId="0" applyFont="1" applyFill="1" applyBorder="1"/>
    <xf numFmtId="0" fontId="41" fillId="12" borderId="0" xfId="0" applyFont="1" applyFill="1"/>
    <xf numFmtId="0" fontId="25" fillId="12" borderId="0" xfId="0" applyFont="1" applyFill="1"/>
    <xf numFmtId="0" fontId="25" fillId="12" borderId="18" xfId="0" applyFont="1" applyFill="1" applyBorder="1"/>
    <xf numFmtId="0" fontId="25" fillId="12" borderId="19" xfId="0" applyFont="1" applyFill="1" applyBorder="1"/>
    <xf numFmtId="0" fontId="25" fillId="12" borderId="20" xfId="0" applyFont="1" applyFill="1" applyBorder="1"/>
    <xf numFmtId="0" fontId="25" fillId="12" borderId="21" xfId="0" applyFont="1" applyFill="1" applyBorder="1"/>
    <xf numFmtId="164" fontId="0" fillId="8" borderId="15" xfId="0" applyNumberFormat="1" applyFill="1" applyBorder="1" applyAlignment="1">
      <alignment horizontal="center"/>
    </xf>
    <xf numFmtId="0" fontId="22" fillId="8" borderId="14" xfId="0" applyFont="1" applyFill="1" applyBorder="1" applyAlignment="1">
      <alignment horizontal="center"/>
    </xf>
    <xf numFmtId="0" fontId="33" fillId="14" borderId="0" xfId="0" applyFont="1" applyFill="1" applyAlignment="1">
      <alignment horizontal="right"/>
    </xf>
    <xf numFmtId="0" fontId="31" fillId="14" borderId="17" xfId="0" applyFont="1" applyFill="1" applyBorder="1" applyAlignment="1">
      <alignment horizontal="right"/>
    </xf>
    <xf numFmtId="164" fontId="25" fillId="18" borderId="1" xfId="0" applyNumberFormat="1" applyFont="1" applyFill="1" applyBorder="1" applyAlignment="1">
      <alignment horizontal="center"/>
    </xf>
    <xf numFmtId="164" fontId="25" fillId="19" borderId="1" xfId="0" applyNumberFormat="1" applyFont="1" applyFill="1" applyBorder="1" applyAlignment="1">
      <alignment horizontal="center"/>
    </xf>
    <xf numFmtId="0" fontId="25" fillId="0" borderId="1" xfId="0" applyFont="1" applyBorder="1" applyAlignment="1">
      <alignment horizontal="center"/>
    </xf>
    <xf numFmtId="164" fontId="16" fillId="0" borderId="1" xfId="0" applyNumberFormat="1" applyFont="1" applyBorder="1" applyAlignment="1">
      <alignment horizontal="center" vertical="center"/>
    </xf>
    <xf numFmtId="164" fontId="16" fillId="12" borderId="0" xfId="0" applyNumberFormat="1" applyFont="1" applyFill="1" applyAlignment="1">
      <alignment horizontal="center" vertical="center"/>
    </xf>
    <xf numFmtId="0" fontId="25" fillId="15" borderId="26" xfId="0" applyFont="1" applyFill="1" applyBorder="1" applyAlignment="1">
      <alignment horizontal="center" vertical="center"/>
    </xf>
    <xf numFmtId="0" fontId="25" fillId="15" borderId="14" xfId="0" applyFont="1" applyFill="1" applyBorder="1" applyAlignment="1">
      <alignment horizontal="center" vertical="center"/>
    </xf>
    <xf numFmtId="0" fontId="25" fillId="15" borderId="16" xfId="0" applyFont="1" applyFill="1" applyBorder="1" applyAlignment="1">
      <alignment horizontal="center" vertical="center"/>
    </xf>
    <xf numFmtId="0" fontId="25" fillId="15" borderId="25" xfId="0" applyFont="1" applyFill="1" applyBorder="1" applyAlignment="1">
      <alignment horizontal="center" vertical="center"/>
    </xf>
    <xf numFmtId="0" fontId="25" fillId="15" borderId="27" xfId="0" applyFont="1" applyFill="1" applyBorder="1" applyAlignment="1">
      <alignment horizontal="center" vertical="center"/>
    </xf>
    <xf numFmtId="0" fontId="25" fillId="15" borderId="28" xfId="0" applyFont="1" applyFill="1" applyBorder="1" applyAlignment="1">
      <alignment horizontal="center" vertical="center"/>
    </xf>
    <xf numFmtId="0" fontId="16" fillId="20" borderId="0" xfId="0" applyFont="1" applyFill="1" applyAlignment="1">
      <alignment vertical="center"/>
    </xf>
    <xf numFmtId="0" fontId="24" fillId="20" borderId="1" xfId="0" applyFont="1" applyFill="1" applyBorder="1" applyAlignment="1">
      <alignment horizontal="center" vertical="center"/>
    </xf>
    <xf numFmtId="0" fontId="24" fillId="20" borderId="0" xfId="0" applyFont="1" applyFill="1" applyAlignment="1">
      <alignment horizontal="right" vertical="center"/>
    </xf>
    <xf numFmtId="0" fontId="16" fillId="20" borderId="1" xfId="0" applyFont="1" applyFill="1" applyBorder="1" applyAlignment="1">
      <alignment horizontal="center" vertical="center"/>
    </xf>
    <xf numFmtId="164" fontId="25" fillId="14" borderId="18" xfId="0" applyNumberFormat="1" applyFont="1" applyFill="1" applyBorder="1" applyAlignment="1">
      <alignment horizontal="center"/>
    </xf>
    <xf numFmtId="164" fontId="25" fillId="14" borderId="0" xfId="0" applyNumberFormat="1" applyFont="1" applyFill="1" applyAlignment="1">
      <alignment horizontal="center"/>
    </xf>
    <xf numFmtId="0" fontId="25" fillId="20" borderId="0" xfId="0" applyFont="1" applyFill="1"/>
    <xf numFmtId="0" fontId="33" fillId="20" borderId="0" xfId="0" applyFont="1" applyFill="1" applyAlignment="1">
      <alignment horizontal="center"/>
    </xf>
    <xf numFmtId="164" fontId="25" fillId="20" borderId="0" xfId="0" applyNumberFormat="1" applyFont="1" applyFill="1" applyAlignment="1">
      <alignment horizontal="center"/>
    </xf>
    <xf numFmtId="0" fontId="0" fillId="2" borderId="17" xfId="0" applyFill="1" applyBorder="1"/>
    <xf numFmtId="0" fontId="44" fillId="2" borderId="0" xfId="0" applyFont="1" applyFill="1"/>
    <xf numFmtId="164" fontId="25" fillId="6" borderId="0" xfId="0" applyNumberFormat="1" applyFont="1" applyFill="1" applyAlignment="1">
      <alignment horizontal="center"/>
    </xf>
    <xf numFmtId="0" fontId="25" fillId="14" borderId="18" xfId="0" applyFont="1" applyFill="1" applyBorder="1" applyAlignment="1">
      <alignment horizontal="left"/>
    </xf>
    <xf numFmtId="164" fontId="25" fillId="14" borderId="18" xfId="0" applyNumberFormat="1" applyFont="1" applyFill="1" applyBorder="1" applyAlignment="1">
      <alignment horizontal="left"/>
    </xf>
    <xf numFmtId="0" fontId="0" fillId="18" borderId="14" xfId="0" applyFill="1" applyBorder="1"/>
    <xf numFmtId="0" fontId="0" fillId="18" borderId="15" xfId="0" applyFill="1" applyBorder="1"/>
    <xf numFmtId="0" fontId="43" fillId="18" borderId="17" xfId="0" applyFont="1" applyFill="1" applyBorder="1"/>
    <xf numFmtId="0" fontId="43" fillId="18" borderId="0" xfId="0" applyFont="1" applyFill="1"/>
    <xf numFmtId="0" fontId="0" fillId="18" borderId="0" xfId="0" applyFill="1"/>
    <xf numFmtId="0" fontId="20" fillId="18" borderId="0" xfId="0" applyFont="1" applyFill="1"/>
    <xf numFmtId="0" fontId="1" fillId="18" borderId="0" xfId="0" applyFont="1" applyFill="1"/>
    <xf numFmtId="0" fontId="0" fillId="18" borderId="17" xfId="0" applyFill="1" applyBorder="1"/>
    <xf numFmtId="0" fontId="0" fillId="18" borderId="6" xfId="0" applyFill="1" applyBorder="1"/>
    <xf numFmtId="0" fontId="0" fillId="18" borderId="35" xfId="0" applyFill="1" applyBorder="1"/>
    <xf numFmtId="0" fontId="0" fillId="18" borderId="37" xfId="0" applyFill="1" applyBorder="1"/>
    <xf numFmtId="0" fontId="0" fillId="18" borderId="36" xfId="0" applyFill="1" applyBorder="1"/>
    <xf numFmtId="0" fontId="0" fillId="18" borderId="37" xfId="0" applyFill="1" applyBorder="1" applyAlignment="1">
      <alignment horizontal="center"/>
    </xf>
    <xf numFmtId="0" fontId="0" fillId="18" borderId="37" xfId="0" applyFill="1" applyBorder="1" applyAlignment="1">
      <alignment horizontal="left"/>
    </xf>
    <xf numFmtId="0" fontId="0" fillId="18" borderId="36" xfId="0" applyFill="1" applyBorder="1" applyAlignment="1">
      <alignment horizontal="center"/>
    </xf>
    <xf numFmtId="0" fontId="0" fillId="18" borderId="38" xfId="0" applyFill="1" applyBorder="1"/>
    <xf numFmtId="0" fontId="0" fillId="18" borderId="38" xfId="0" applyFill="1" applyBorder="1" applyAlignment="1">
      <alignment horizontal="center"/>
    </xf>
    <xf numFmtId="0" fontId="0" fillId="18" borderId="7" xfId="0" applyFill="1" applyBorder="1"/>
    <xf numFmtId="0" fontId="0" fillId="18" borderId="9" xfId="0" applyFill="1" applyBorder="1"/>
    <xf numFmtId="0" fontId="0" fillId="18" borderId="38" xfId="0" applyFill="1" applyBorder="1" applyAlignment="1">
      <alignment horizontal="left"/>
    </xf>
    <xf numFmtId="0" fontId="0" fillId="18" borderId="35" xfId="0" applyFill="1" applyBorder="1" applyAlignment="1">
      <alignment horizontal="center"/>
    </xf>
    <xf numFmtId="0" fontId="0" fillId="18" borderId="1" xfId="0" applyFill="1" applyBorder="1" applyAlignment="1">
      <alignment horizontal="center"/>
    </xf>
    <xf numFmtId="0" fontId="0" fillId="18" borderId="1" xfId="0" applyFill="1" applyBorder="1" applyAlignment="1">
      <alignment horizontal="center" vertical="center"/>
    </xf>
    <xf numFmtId="0" fontId="0" fillId="18" borderId="0" xfId="0" applyFill="1" applyAlignment="1">
      <alignment horizontal="center"/>
    </xf>
    <xf numFmtId="0" fontId="43" fillId="18" borderId="0" xfId="0" applyFont="1" applyFill="1" applyAlignment="1">
      <alignment horizontal="center"/>
    </xf>
    <xf numFmtId="0" fontId="0" fillId="18" borderId="19" xfId="0" applyFill="1" applyBorder="1"/>
    <xf numFmtId="0" fontId="0" fillId="18" borderId="20" xfId="0" applyFill="1" applyBorder="1"/>
    <xf numFmtId="0" fontId="45" fillId="18" borderId="0" xfId="0" applyFont="1" applyFill="1" applyAlignment="1">
      <alignment horizontal="center"/>
    </xf>
    <xf numFmtId="0" fontId="0" fillId="18" borderId="4" xfId="0" applyFill="1" applyBorder="1"/>
    <xf numFmtId="0" fontId="0" fillId="18" borderId="6" xfId="0" applyFill="1" applyBorder="1" applyAlignment="1">
      <alignment horizontal="center"/>
    </xf>
    <xf numFmtId="0" fontId="0" fillId="18" borderId="21" xfId="0" applyFill="1" applyBorder="1"/>
    <xf numFmtId="0" fontId="46" fillId="5" borderId="4" xfId="0" applyFont="1" applyFill="1" applyBorder="1" applyAlignment="1">
      <alignment horizontal="left"/>
    </xf>
    <xf numFmtId="0" fontId="8" fillId="4" borderId="39" xfId="0" applyFont="1" applyFill="1" applyBorder="1" applyAlignment="1">
      <alignment horizontal="right"/>
    </xf>
    <xf numFmtId="0" fontId="8" fillId="4" borderId="38" xfId="0" applyFont="1" applyFill="1" applyBorder="1" applyAlignment="1">
      <alignment horizontal="right"/>
    </xf>
    <xf numFmtId="0" fontId="47" fillId="2" borderId="0" xfId="0" applyFont="1" applyFill="1"/>
    <xf numFmtId="0" fontId="0" fillId="22" borderId="17" xfId="0" applyFill="1" applyBorder="1"/>
    <xf numFmtId="0" fontId="0" fillId="22" borderId="0" xfId="0" applyFill="1"/>
    <xf numFmtId="0" fontId="0" fillId="22" borderId="18" xfId="0" applyFill="1" applyBorder="1"/>
    <xf numFmtId="0" fontId="20" fillId="22" borderId="17" xfId="0" applyFont="1" applyFill="1" applyBorder="1" applyAlignment="1">
      <alignment horizontal="center"/>
    </xf>
    <xf numFmtId="0" fontId="47" fillId="22" borderId="0" xfId="0" applyFont="1" applyFill="1"/>
    <xf numFmtId="0" fontId="47" fillId="22" borderId="18" xfId="0" applyFont="1" applyFill="1" applyBorder="1"/>
    <xf numFmtId="0" fontId="0" fillId="22" borderId="19" xfId="0" applyFill="1" applyBorder="1"/>
    <xf numFmtId="0" fontId="47" fillId="22" borderId="20" xfId="0" applyFont="1" applyFill="1" applyBorder="1"/>
    <xf numFmtId="0" fontId="47" fillId="22" borderId="21" xfId="0" applyFont="1" applyFill="1" applyBorder="1"/>
    <xf numFmtId="0" fontId="0" fillId="22" borderId="20" xfId="0" applyFill="1" applyBorder="1"/>
    <xf numFmtId="0" fontId="0" fillId="22" borderId="21" xfId="0" applyFill="1" applyBorder="1"/>
    <xf numFmtId="0" fontId="1" fillId="3" borderId="12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48" fillId="21" borderId="14" xfId="0" applyFont="1" applyFill="1" applyBorder="1" applyAlignment="1">
      <alignment horizontal="center"/>
    </xf>
    <xf numFmtId="0" fontId="48" fillId="21" borderId="15" xfId="0" applyFont="1" applyFill="1" applyBorder="1" applyAlignment="1">
      <alignment horizontal="center"/>
    </xf>
    <xf numFmtId="0" fontId="48" fillId="21" borderId="16" xfId="0" applyFont="1" applyFill="1" applyBorder="1" applyAlignment="1">
      <alignment horizontal="center"/>
    </xf>
    <xf numFmtId="0" fontId="48" fillId="21" borderId="19" xfId="0" applyFont="1" applyFill="1" applyBorder="1" applyAlignment="1">
      <alignment horizontal="center"/>
    </xf>
    <xf numFmtId="0" fontId="48" fillId="21" borderId="20" xfId="0" applyFont="1" applyFill="1" applyBorder="1" applyAlignment="1">
      <alignment horizontal="center"/>
    </xf>
    <xf numFmtId="0" fontId="48" fillId="21" borderId="21" xfId="0" applyFont="1" applyFill="1" applyBorder="1" applyAlignment="1">
      <alignment horizontal="center"/>
    </xf>
    <xf numFmtId="0" fontId="16" fillId="7" borderId="22" xfId="0" applyFont="1" applyFill="1" applyBorder="1" applyAlignment="1">
      <alignment horizontal="center" vertical="center"/>
    </xf>
    <xf numFmtId="0" fontId="16" fillId="7" borderId="23" xfId="0" applyFont="1" applyFill="1" applyBorder="1" applyAlignment="1">
      <alignment horizontal="center" vertical="center"/>
    </xf>
    <xf numFmtId="0" fontId="16" fillId="7" borderId="24" xfId="0" applyFont="1" applyFill="1" applyBorder="1" applyAlignment="1">
      <alignment horizontal="center" vertical="center"/>
    </xf>
    <xf numFmtId="0" fontId="49" fillId="21" borderId="14" xfId="0" applyFont="1" applyFill="1" applyBorder="1" applyAlignment="1">
      <alignment horizontal="center"/>
    </xf>
    <xf numFmtId="0" fontId="0" fillId="21" borderId="15" xfId="0" applyFill="1" applyBorder="1" applyAlignment="1">
      <alignment horizontal="center"/>
    </xf>
    <xf numFmtId="0" fontId="0" fillId="21" borderId="16" xfId="0" applyFill="1" applyBorder="1" applyAlignment="1">
      <alignment horizontal="center"/>
    </xf>
    <xf numFmtId="0" fontId="0" fillId="21" borderId="19" xfId="0" applyFill="1" applyBorder="1" applyAlignment="1">
      <alignment horizontal="center"/>
    </xf>
    <xf numFmtId="0" fontId="0" fillId="21" borderId="20" xfId="0" applyFill="1" applyBorder="1" applyAlignment="1">
      <alignment horizontal="center"/>
    </xf>
    <xf numFmtId="0" fontId="0" fillId="21" borderId="21" xfId="0" applyFill="1" applyBorder="1" applyAlignment="1">
      <alignment horizontal="center"/>
    </xf>
    <xf numFmtId="0" fontId="25" fillId="13" borderId="17" xfId="0" applyFont="1" applyFill="1" applyBorder="1"/>
    <xf numFmtId="0" fontId="25" fillId="13" borderId="0" xfId="0" applyFont="1" applyFill="1"/>
    <xf numFmtId="0" fontId="30" fillId="13" borderId="14" xfId="0" applyFont="1" applyFill="1" applyBorder="1" applyAlignment="1">
      <alignment vertical="center"/>
    </xf>
    <xf numFmtId="0" fontId="30" fillId="13" borderId="15" xfId="0" applyFont="1" applyFill="1" applyBorder="1" applyAlignment="1">
      <alignment vertical="center"/>
    </xf>
    <xf numFmtId="0" fontId="32" fillId="13" borderId="17" xfId="0" applyFont="1" applyFill="1" applyBorder="1" applyAlignment="1">
      <alignment vertical="center"/>
    </xf>
    <xf numFmtId="0" fontId="32" fillId="13" borderId="0" xfId="0" applyFont="1" applyFill="1" applyAlignment="1">
      <alignment vertical="center"/>
    </xf>
    <xf numFmtId="0" fontId="25" fillId="14" borderId="19" xfId="0" applyFont="1" applyFill="1" applyBorder="1"/>
    <xf numFmtId="0" fontId="25" fillId="14" borderId="20" xfId="0" applyFont="1" applyFill="1" applyBorder="1"/>
    <xf numFmtId="0" fontId="25" fillId="13" borderId="19" xfId="0" applyFont="1" applyFill="1" applyBorder="1"/>
    <xf numFmtId="0" fontId="25" fillId="13" borderId="20" xfId="0" applyFont="1" applyFill="1" applyBorder="1"/>
    <xf numFmtId="0" fontId="30" fillId="14" borderId="14" xfId="0" applyFont="1" applyFill="1" applyBorder="1" applyAlignment="1">
      <alignment vertical="center"/>
    </xf>
    <xf numFmtId="0" fontId="30" fillId="14" borderId="15" xfId="0" applyFont="1" applyFill="1" applyBorder="1" applyAlignment="1">
      <alignment vertical="center"/>
    </xf>
    <xf numFmtId="0" fontId="30" fillId="14" borderId="17" xfId="0" applyFont="1" applyFill="1" applyBorder="1" applyAlignment="1">
      <alignment vertical="center"/>
    </xf>
    <xf numFmtId="0" fontId="30" fillId="14" borderId="0" xfId="0" applyFont="1" applyFill="1" applyAlignment="1">
      <alignment vertical="center"/>
    </xf>
    <xf numFmtId="0" fontId="25" fillId="14" borderId="17" xfId="0" applyFont="1" applyFill="1" applyBorder="1"/>
    <xf numFmtId="0" fontId="25" fillId="14" borderId="0" xfId="0" applyFont="1" applyFill="1"/>
    <xf numFmtId="0" fontId="24" fillId="9" borderId="32" xfId="0" applyFont="1" applyFill="1" applyBorder="1" applyAlignment="1">
      <alignment vertical="center"/>
    </xf>
    <xf numFmtId="0" fontId="24" fillId="9" borderId="33" xfId="0" applyFont="1" applyFill="1" applyBorder="1" applyAlignment="1">
      <alignment vertical="center"/>
    </xf>
    <xf numFmtId="0" fontId="24" fillId="9" borderId="34" xfId="0" applyFont="1" applyFill="1" applyBorder="1" applyAlignment="1">
      <alignment vertical="center"/>
    </xf>
    <xf numFmtId="0" fontId="0" fillId="18" borderId="0" xfId="0" applyFill="1" applyAlignment="1">
      <alignment horizontal="center"/>
    </xf>
    <xf numFmtId="0" fontId="14" fillId="6" borderId="31" xfId="0" applyFont="1" applyFill="1" applyBorder="1" applyAlignment="1">
      <alignment horizontal="right"/>
    </xf>
    <xf numFmtId="0" fontId="50" fillId="6" borderId="17" xfId="0" applyFont="1" applyFill="1" applyBorder="1" applyAlignment="1">
      <alignment horizontal="left"/>
    </xf>
    <xf numFmtId="0" fontId="20" fillId="5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20" xfId="0" applyFill="1" applyBorder="1"/>
    <xf numFmtId="0" fontId="0" fillId="2" borderId="21" xfId="0" applyFill="1" applyBorder="1"/>
    <xf numFmtId="0" fontId="47" fillId="2" borderId="0" xfId="0" applyFont="1" applyFill="1" applyBorder="1"/>
    <xf numFmtId="0" fontId="47" fillId="2" borderId="20" xfId="0" applyFont="1" applyFill="1" applyBorder="1"/>
    <xf numFmtId="0" fontId="49" fillId="21" borderId="15" xfId="0" applyFont="1" applyFill="1" applyBorder="1" applyAlignment="1">
      <alignment horizontal="center"/>
    </xf>
    <xf numFmtId="0" fontId="49" fillId="21" borderId="16" xfId="0" applyFont="1" applyFill="1" applyBorder="1" applyAlignment="1">
      <alignment horizontal="center"/>
    </xf>
    <xf numFmtId="0" fontId="49" fillId="21" borderId="19" xfId="0" applyFont="1" applyFill="1" applyBorder="1" applyAlignment="1">
      <alignment horizontal="center"/>
    </xf>
    <xf numFmtId="0" fontId="49" fillId="21" borderId="20" xfId="0" applyFont="1" applyFill="1" applyBorder="1" applyAlignment="1">
      <alignment horizontal="center"/>
    </xf>
    <xf numFmtId="0" fontId="49" fillId="21" borderId="21" xfId="0" applyFont="1" applyFill="1" applyBorder="1" applyAlignment="1">
      <alignment horizontal="center"/>
    </xf>
    <xf numFmtId="0" fontId="20" fillId="2" borderId="0" xfId="0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51" fillId="2" borderId="0" xfId="0" applyFont="1" applyFill="1" applyAlignment="1">
      <alignment horizontal="left" vertical="top"/>
    </xf>
    <xf numFmtId="0" fontId="52" fillId="21" borderId="15" xfId="0" applyFont="1" applyFill="1" applyBorder="1" applyAlignment="1">
      <alignment horizontal="center"/>
    </xf>
    <xf numFmtId="0" fontId="52" fillId="21" borderId="16" xfId="0" applyFont="1" applyFill="1" applyBorder="1" applyAlignment="1">
      <alignment horizontal="center"/>
    </xf>
    <xf numFmtId="0" fontId="52" fillId="21" borderId="19" xfId="0" applyFont="1" applyFill="1" applyBorder="1" applyAlignment="1">
      <alignment horizontal="center"/>
    </xf>
    <xf numFmtId="0" fontId="52" fillId="21" borderId="20" xfId="0" applyFont="1" applyFill="1" applyBorder="1" applyAlignment="1">
      <alignment horizontal="center"/>
    </xf>
    <xf numFmtId="0" fontId="52" fillId="21" borderId="21" xfId="0" applyFont="1" applyFill="1" applyBorder="1" applyAlignment="1">
      <alignment horizontal="center"/>
    </xf>
    <xf numFmtId="0" fontId="0" fillId="22" borderId="14" xfId="0" applyFill="1" applyBorder="1"/>
    <xf numFmtId="0" fontId="0" fillId="22" borderId="15" xfId="0" applyFill="1" applyBorder="1"/>
    <xf numFmtId="0" fontId="0" fillId="22" borderId="16" xfId="0" applyFill="1" applyBorder="1"/>
    <xf numFmtId="0" fontId="0" fillId="22" borderId="0" xfId="0" applyFill="1" applyBorder="1"/>
    <xf numFmtId="0" fontId="26" fillId="10" borderId="17" xfId="0" applyFont="1" applyFill="1" applyBorder="1" applyAlignment="1">
      <alignment horizontal="center" vertical="center"/>
    </xf>
    <xf numFmtId="0" fontId="20" fillId="22" borderId="17" xfId="0" applyFont="1" applyFill="1" applyBorder="1"/>
    <xf numFmtId="0" fontId="47" fillId="22" borderId="0" xfId="0" applyFont="1" applyFill="1" applyBorder="1"/>
    <xf numFmtId="0" fontId="53" fillId="15" borderId="5" xfId="0" applyFont="1" applyFill="1" applyBorder="1" applyAlignment="1">
      <alignment horizontal="left" vertical="center"/>
    </xf>
    <xf numFmtId="0" fontId="53" fillId="15" borderId="0" xfId="0" applyFont="1" applyFill="1" applyAlignment="1">
      <alignment horizontal="left" vertical="center"/>
    </xf>
    <xf numFmtId="0" fontId="53" fillId="15" borderId="0" xfId="0" applyFont="1" applyFill="1" applyAlignment="1">
      <alignment horizontal="left" vertical="center"/>
    </xf>
    <xf numFmtId="0" fontId="49" fillId="21" borderId="14" xfId="0" applyFont="1" applyFill="1" applyBorder="1" applyAlignment="1">
      <alignment horizontal="center" vertical="center"/>
    </xf>
    <xf numFmtId="0" fontId="49" fillId="21" borderId="15" xfId="0" applyFont="1" applyFill="1" applyBorder="1" applyAlignment="1">
      <alignment horizontal="center" vertical="center"/>
    </xf>
    <xf numFmtId="0" fontId="49" fillId="21" borderId="16" xfId="0" applyFont="1" applyFill="1" applyBorder="1" applyAlignment="1">
      <alignment horizontal="center" vertical="center"/>
    </xf>
    <xf numFmtId="0" fontId="49" fillId="21" borderId="19" xfId="0" applyFont="1" applyFill="1" applyBorder="1" applyAlignment="1">
      <alignment horizontal="center" vertical="center"/>
    </xf>
    <xf numFmtId="0" fontId="49" fillId="21" borderId="20" xfId="0" applyFont="1" applyFill="1" applyBorder="1" applyAlignment="1">
      <alignment horizontal="center" vertical="center"/>
    </xf>
    <xf numFmtId="0" fontId="49" fillId="21" borderId="21" xfId="0" applyFont="1" applyFill="1" applyBorder="1" applyAlignment="1">
      <alignment horizontal="center" vertical="center"/>
    </xf>
    <xf numFmtId="0" fontId="54" fillId="15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5F8FC"/>
      <color rgb="FFF5F5FF"/>
      <color rgb="FFF5F5F5"/>
      <color rgb="FFF9FFFF"/>
      <color rgb="FFF5FAF5"/>
      <color rgb="FFFDFAF1"/>
      <color rgb="FFFFFFFF"/>
      <color rgb="FFFFFFCC"/>
      <color rgb="FFEAEAEA"/>
      <color rgb="FFE5F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Section!$J$34:$J$42</c:f>
              <c:numCache>
                <c:formatCode>General</c:formatCode>
                <c:ptCount val="9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25.75</c:v>
                </c:pt>
                <c:pt idx="4">
                  <c:v>20.759999999999998</c:v>
                </c:pt>
                <c:pt idx="5">
                  <c:v>18.5</c:v>
                </c:pt>
                <c:pt idx="6">
                  <c:v>11</c:v>
                </c:pt>
              </c:numCache>
            </c:numRef>
          </c:xVal>
          <c:yVal>
            <c:numRef>
              <c:f>Section!$K$34:$K$42</c:f>
              <c:numCache>
                <c:formatCode>General</c:formatCode>
                <c:ptCount val="9"/>
                <c:pt idx="0">
                  <c:v>0</c:v>
                </c:pt>
                <c:pt idx="1">
                  <c:v>-22</c:v>
                </c:pt>
                <c:pt idx="2">
                  <c:v>-32</c:v>
                </c:pt>
                <c:pt idx="3">
                  <c:v>-32</c:v>
                </c:pt>
                <c:pt idx="4">
                  <c:v>-22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50-4290-B9E8-2A00E5822D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576463"/>
        <c:axId val="1360580303"/>
      </c:scatterChart>
      <c:valAx>
        <c:axId val="1360576463"/>
        <c:scaling>
          <c:orientation val="minMax"/>
          <c:max val="35"/>
          <c:min val="-5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60580303"/>
        <c:crosses val="autoZero"/>
        <c:crossBetween val="midCat"/>
        <c:majorUnit val="5"/>
      </c:valAx>
      <c:valAx>
        <c:axId val="1360580303"/>
        <c:scaling>
          <c:orientation val="minMax"/>
          <c:max val="5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60576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Section!$J$34:$J$42</c:f>
              <c:numCache>
                <c:formatCode>General</c:formatCode>
                <c:ptCount val="9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25.75</c:v>
                </c:pt>
                <c:pt idx="4">
                  <c:v>20.759999999999998</c:v>
                </c:pt>
                <c:pt idx="5">
                  <c:v>18.5</c:v>
                </c:pt>
                <c:pt idx="6">
                  <c:v>11</c:v>
                </c:pt>
              </c:numCache>
            </c:numRef>
          </c:xVal>
          <c:yVal>
            <c:numRef>
              <c:f>Section!$K$34:$K$42</c:f>
              <c:numCache>
                <c:formatCode>General</c:formatCode>
                <c:ptCount val="9"/>
                <c:pt idx="0">
                  <c:v>0</c:v>
                </c:pt>
                <c:pt idx="1">
                  <c:v>-22</c:v>
                </c:pt>
                <c:pt idx="2">
                  <c:v>-32</c:v>
                </c:pt>
                <c:pt idx="3">
                  <c:v>-32</c:v>
                </c:pt>
                <c:pt idx="4">
                  <c:v>-22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97-4825-93FD-598E3C697296}"/>
            </c:ext>
          </c:extLst>
        </c:ser>
        <c:ser>
          <c:idx val="1"/>
          <c:order val="1"/>
          <c:tx>
            <c:v>LongitudinalSteelBars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4D671E22-C47F-4270-9E86-BFA6EA4C25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397-4825-93FD-598E3C697296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53B8B86-F80B-4D80-9DE0-9F8216D563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397-4825-93FD-598E3C697296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CCC10D4-CD7B-4097-AAEE-4804094E2A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397-4825-93FD-598E3C697296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1153276-931C-401A-8B90-DF627F0B11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397-4825-93FD-598E3C69729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8D3CAED6-F9C3-44DE-B561-A10FA4CEC4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397-4825-93FD-598E3C697296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649990-962C-47E9-A5D1-F1AED434C85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397-4825-93FD-598E3C697296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33FBE9-DBDE-49CB-A032-B2EE2C3E0D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397-4825-93FD-598E3C69729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397-4825-93FD-598E3C697296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397-4825-93FD-598E3C69729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397-4825-93FD-598E3C69729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Reinforcement!$T$23:$T$32</c:f>
              <c:numCache>
                <c:formatCode>General</c:formatCode>
                <c:ptCount val="10"/>
                <c:pt idx="0">
                  <c:v>21.983999999999998</c:v>
                </c:pt>
                <c:pt idx="1">
                  <c:v>17.956</c:v>
                </c:pt>
                <c:pt idx="2">
                  <c:v>17.759999999999998</c:v>
                </c:pt>
                <c:pt idx="3">
                  <c:v>16.63</c:v>
                </c:pt>
                <c:pt idx="4">
                  <c:v>14.620000000000001</c:v>
                </c:pt>
                <c:pt idx="5">
                  <c:v>13.36</c:v>
                </c:pt>
                <c:pt idx="6">
                  <c:v>13.36</c:v>
                </c:pt>
              </c:numCache>
            </c:numRef>
          </c:xVal>
          <c:yVal>
            <c:numRef>
              <c:f>Reinforcement!$U$23:$U$32</c:f>
              <c:numCache>
                <c:formatCode>General</c:formatCode>
                <c:ptCount val="10"/>
                <c:pt idx="0">
                  <c:v>-28</c:v>
                </c:pt>
                <c:pt idx="1">
                  <c:v>-26</c:v>
                </c:pt>
                <c:pt idx="2">
                  <c:v>-22</c:v>
                </c:pt>
                <c:pt idx="3">
                  <c:v>-11</c:v>
                </c:pt>
                <c:pt idx="4">
                  <c:v>-2.5</c:v>
                </c:pt>
                <c:pt idx="5">
                  <c:v>-15</c:v>
                </c:pt>
                <c:pt idx="6">
                  <c:v>-26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Reinforcement!$S$23:$S$32</c15:f>
                <c15:dlblRangeCache>
                  <c:ptCount val="10"/>
                  <c:pt idx="0">
                    <c:v>B1</c:v>
                  </c:pt>
                  <c:pt idx="1">
                    <c:v>B2</c:v>
                  </c:pt>
                  <c:pt idx="2">
                    <c:v>B3</c:v>
                  </c:pt>
                  <c:pt idx="3">
                    <c:v>B4</c:v>
                  </c:pt>
                  <c:pt idx="4">
                    <c:v>B5</c:v>
                  </c:pt>
                  <c:pt idx="5">
                    <c:v>B6</c:v>
                  </c:pt>
                  <c:pt idx="6">
                    <c:v>B7</c:v>
                  </c:pt>
                  <c:pt idx="7">
                    <c:v>B8</c:v>
                  </c:pt>
                  <c:pt idx="8">
                    <c:v>B9</c:v>
                  </c:pt>
                  <c:pt idx="9">
                    <c:v>B10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1-9397-4825-93FD-598E3C697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0576463"/>
        <c:axId val="1360580303"/>
      </c:scatterChart>
      <c:valAx>
        <c:axId val="1360576463"/>
        <c:scaling>
          <c:orientation val="minMax"/>
          <c:max val="35"/>
          <c:min val="-5"/>
        </c:scaling>
        <c:delete val="1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60580303"/>
        <c:crosses val="autoZero"/>
        <c:crossBetween val="midCat"/>
        <c:majorUnit val="5"/>
      </c:valAx>
      <c:valAx>
        <c:axId val="1360580303"/>
        <c:scaling>
          <c:orientation val="minMax"/>
          <c:max val="5"/>
        </c:scaling>
        <c:delete val="1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360576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firstButton="1" fmlaLink="G4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Radio" firstButton="1" fmlaLink="A1" lockText="1" noThreeD="1"/>
</file>

<file path=xl/ctrlProps/ctrlProp13.xml><?xml version="1.0" encoding="utf-8"?>
<formControlPr xmlns="http://schemas.microsoft.com/office/spreadsheetml/2009/9/main" objectType="Radio" checked="Checked" lockText="1" noThreeD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Radio" checked="Checked" firstButton="1" fmlaLink="A1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381000</xdr:colOff>
          <xdr:row>6</xdr:row>
          <xdr:rowOff>19050</xdr:rowOff>
        </xdr:from>
        <xdr:to>
          <xdr:col>2</xdr:col>
          <xdr:colOff>742950</xdr:colOff>
          <xdr:row>7</xdr:row>
          <xdr:rowOff>47625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342900</xdr:colOff>
          <xdr:row>6</xdr:row>
          <xdr:rowOff>28575</xdr:rowOff>
        </xdr:from>
        <xdr:to>
          <xdr:col>4</xdr:col>
          <xdr:colOff>647700</xdr:colOff>
          <xdr:row>7</xdr:row>
          <xdr:rowOff>47625</xdr:rowOff>
        </xdr:to>
        <xdr:sp macro="" textlink="">
          <xdr:nvSpPr>
            <xdr:cNvPr id="1031" name="Option 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428625</xdr:colOff>
          <xdr:row>6</xdr:row>
          <xdr:rowOff>28575</xdr:rowOff>
        </xdr:from>
        <xdr:to>
          <xdr:col>6</xdr:col>
          <xdr:colOff>762000</xdr:colOff>
          <xdr:row>7</xdr:row>
          <xdr:rowOff>9525</xdr:rowOff>
        </xdr:to>
        <xdr:sp macro="" textlink="">
          <xdr:nvSpPr>
            <xdr:cNvPr id="1032" name="Option 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419100</xdr:colOff>
          <xdr:row>5</xdr:row>
          <xdr:rowOff>133350</xdr:rowOff>
        </xdr:from>
        <xdr:to>
          <xdr:col>10</xdr:col>
          <xdr:colOff>228600</xdr:colOff>
          <xdr:row>6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504825</xdr:colOff>
          <xdr:row>5</xdr:row>
          <xdr:rowOff>0</xdr:rowOff>
        </xdr:from>
        <xdr:to>
          <xdr:col>15</xdr:col>
          <xdr:colOff>209550</xdr:colOff>
          <xdr:row>7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Clear Outputs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416871</xdr:colOff>
      <xdr:row>14</xdr:row>
      <xdr:rowOff>131370</xdr:rowOff>
    </xdr:from>
    <xdr:to>
      <xdr:col>11</xdr:col>
      <xdr:colOff>717468</xdr:colOff>
      <xdr:row>30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0A3E3D2-40E8-A719-C81E-5C7F6DD89D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295275</xdr:colOff>
          <xdr:row>31</xdr:row>
          <xdr:rowOff>114300</xdr:rowOff>
        </xdr:from>
        <xdr:to>
          <xdr:col>12</xdr:col>
          <xdr:colOff>38100</xdr:colOff>
          <xdr:row>34</xdr:row>
          <xdr:rowOff>57150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Build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3</xdr:row>
          <xdr:rowOff>209550</xdr:rowOff>
        </xdr:from>
        <xdr:to>
          <xdr:col>11</xdr:col>
          <xdr:colOff>438150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581025</xdr:colOff>
          <xdr:row>18</xdr:row>
          <xdr:rowOff>114300</xdr:rowOff>
        </xdr:from>
        <xdr:to>
          <xdr:col>11</xdr:col>
          <xdr:colOff>400050</xdr:colOff>
          <xdr:row>19</xdr:row>
          <xdr:rowOff>152400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809625</xdr:colOff>
          <xdr:row>3</xdr:row>
          <xdr:rowOff>228600</xdr:rowOff>
        </xdr:from>
        <xdr:to>
          <xdr:col>16</xdr:col>
          <xdr:colOff>485775</xdr:colOff>
          <xdr:row>5</xdr:row>
          <xdr:rowOff>9525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762000</xdr:colOff>
          <xdr:row>19</xdr:row>
          <xdr:rowOff>0</xdr:rowOff>
        </xdr:from>
        <xdr:to>
          <xdr:col>16</xdr:col>
          <xdr:colOff>276225</xdr:colOff>
          <xdr:row>20</xdr:row>
          <xdr:rowOff>76200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559075</xdr:colOff>
      <xdr:row>32</xdr:row>
      <xdr:rowOff>192911</xdr:rowOff>
    </xdr:from>
    <xdr:to>
      <xdr:col>22</xdr:col>
      <xdr:colOff>533769</xdr:colOff>
      <xdr:row>54</xdr:row>
      <xdr:rowOff>124239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F97DD9-C48A-4AB8-BB7D-7AB446467F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466725</xdr:colOff>
          <xdr:row>29</xdr:row>
          <xdr:rowOff>142875</xdr:rowOff>
        </xdr:from>
        <xdr:to>
          <xdr:col>22</xdr:col>
          <xdr:colOff>485775</xdr:colOff>
          <xdr:row>32</xdr:row>
          <xdr:rowOff>38100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1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Build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Chart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123825</xdr:colOff>
      <xdr:row>3</xdr:row>
      <xdr:rowOff>133350</xdr:rowOff>
    </xdr:from>
    <xdr:to>
      <xdr:col>5</xdr:col>
      <xdr:colOff>533400</xdr:colOff>
      <xdr:row>8</xdr:row>
      <xdr:rowOff>133350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849D25D-6650-C6F2-1832-C4A50C7A73D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752475"/>
          <a:ext cx="3019425" cy="990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123825</xdr:colOff>
      <xdr:row>10</xdr:row>
      <xdr:rowOff>104775</xdr:rowOff>
    </xdr:from>
    <xdr:to>
      <xdr:col>5</xdr:col>
      <xdr:colOff>504825</xdr:colOff>
      <xdr:row>14</xdr:row>
      <xdr:rowOff>171450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CACB31C-3727-818B-0143-B8BCAF98246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2105025"/>
          <a:ext cx="2990850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476250</xdr:colOff>
          <xdr:row>3</xdr:row>
          <xdr:rowOff>19050</xdr:rowOff>
        </xdr:from>
        <xdr:to>
          <xdr:col>11</xdr:col>
          <xdr:colOff>171450</xdr:colOff>
          <xdr:row>4</xdr:row>
          <xdr:rowOff>9525</xdr:rowOff>
        </xdr:to>
        <xdr:sp macro="" textlink="">
          <xdr:nvSpPr>
            <xdr:cNvPr id="4097" name="Option 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504825</xdr:colOff>
          <xdr:row>12</xdr:row>
          <xdr:rowOff>9525</xdr:rowOff>
        </xdr:from>
        <xdr:to>
          <xdr:col>11</xdr:col>
          <xdr:colOff>200025</xdr:colOff>
          <xdr:row>13</xdr:row>
          <xdr:rowOff>935</xdr:rowOff>
        </xdr:to>
        <xdr:sp macro="" textlink="">
          <xdr:nvSpPr>
            <xdr:cNvPr id="4098" name="Option 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5</xdr:row>
          <xdr:rowOff>161925</xdr:rowOff>
        </xdr:from>
        <xdr:to>
          <xdr:col>7</xdr:col>
          <xdr:colOff>352425</xdr:colOff>
          <xdr:row>7</xdr:row>
          <xdr:rowOff>57150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8</xdr:row>
          <xdr:rowOff>47625</xdr:rowOff>
        </xdr:from>
        <xdr:to>
          <xdr:col>9</xdr:col>
          <xdr:colOff>561975</xdr:colOff>
          <xdr:row>9</xdr:row>
          <xdr:rowOff>38100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658482</xdr:colOff>
          <xdr:row>3</xdr:row>
          <xdr:rowOff>13502</xdr:rowOff>
        </xdr:from>
        <xdr:to>
          <xdr:col>6</xdr:col>
          <xdr:colOff>115452</xdr:colOff>
          <xdr:row>4</xdr:row>
          <xdr:rowOff>33494</xdr:rowOff>
        </xdr:to>
        <xdr:sp macro="" textlink="">
          <xdr:nvSpPr>
            <xdr:cNvPr id="6145" name="Option 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607089</xdr:colOff>
          <xdr:row>10</xdr:row>
          <xdr:rowOff>0</xdr:rowOff>
        </xdr:from>
        <xdr:to>
          <xdr:col>6</xdr:col>
          <xdr:colOff>73584</xdr:colOff>
          <xdr:row>11</xdr:row>
          <xdr:rowOff>28575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161925</xdr:colOff>
          <xdr:row>17</xdr:row>
          <xdr:rowOff>47625</xdr:rowOff>
        </xdr:from>
        <xdr:to>
          <xdr:col>3</xdr:col>
          <xdr:colOff>314325</xdr:colOff>
          <xdr:row>19</xdr:row>
          <xdr:rowOff>180975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152400</xdr:colOff>
          <xdr:row>7</xdr:row>
          <xdr:rowOff>76200</xdr:rowOff>
        </xdr:from>
        <xdr:to>
          <xdr:col>8</xdr:col>
          <xdr:colOff>800100</xdr:colOff>
          <xdr:row>8</xdr:row>
          <xdr:rowOff>47625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4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171451</xdr:colOff>
          <xdr:row>14</xdr:row>
          <xdr:rowOff>66674</xdr:rowOff>
        </xdr:from>
        <xdr:to>
          <xdr:col>8</xdr:col>
          <xdr:colOff>823035</xdr:colOff>
          <xdr:row>15</xdr:row>
          <xdr:rowOff>64732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4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400050</xdr:colOff>
          <xdr:row>3</xdr:row>
          <xdr:rowOff>9525</xdr:rowOff>
        </xdr:from>
        <xdr:to>
          <xdr:col>8</xdr:col>
          <xdr:colOff>0</xdr:colOff>
          <xdr:row>4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0</xdr:rowOff>
        </xdr:from>
        <xdr:to>
          <xdr:col>8</xdr:col>
          <xdr:colOff>47625</xdr:colOff>
          <xdr:row>10</xdr:row>
          <xdr:rowOff>85725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DLaM Display"/>
                  <a:ea typeface="ADLaM Display"/>
                  <a:cs typeface="ADLaM Display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45F82"/>
      </a:accent1>
      <a:accent2>
        <a:srgbClr val="E87331"/>
      </a:accent2>
      <a:accent3>
        <a:srgbClr val="186C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7" Type="http://schemas.openxmlformats.org/officeDocument/2006/relationships/ctrlProp" Target="../ctrlProps/ctrlProp2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P110"/>
  <sheetViews>
    <sheetView tabSelected="1" zoomScale="80" zoomScaleNormal="80" workbookViewId="0">
      <selection activeCell="O6" sqref="O6"/>
    </sheetView>
  </sheetViews>
  <sheetFormatPr defaultRowHeight="15.95" customHeight="1" x14ac:dyDescent="0.25"/>
  <cols>
    <col min="1" max="2" width="9.140625" style="1"/>
    <col min="3" max="3" width="15.7109375" style="1" customWidth="1"/>
    <col min="4" max="4" width="13.7109375" style="1" customWidth="1"/>
    <col min="5" max="5" width="14.7109375" style="1" customWidth="1"/>
    <col min="6" max="6" width="9.140625" style="1"/>
    <col min="7" max="7" width="15.7109375" style="1" customWidth="1"/>
    <col min="8" max="8" width="9.140625" style="1"/>
    <col min="9" max="9" width="10.7109375" style="1" customWidth="1"/>
    <col min="10" max="12" width="16.7109375" style="1" customWidth="1"/>
    <col min="13" max="13" width="5.7109375" style="1" customWidth="1"/>
    <col min="14" max="15" width="15.28515625" style="1" customWidth="1"/>
    <col min="16" max="16384" width="9.140625" style="1"/>
  </cols>
  <sheetData>
    <row r="4" spans="3:16" ht="15.95" customHeight="1" x14ac:dyDescent="0.25">
      <c r="C4" s="15"/>
      <c r="D4" s="16"/>
      <c r="E4" s="17" t="s">
        <v>4</v>
      </c>
      <c r="F4" s="18"/>
      <c r="G4" s="264">
        <v>2</v>
      </c>
      <c r="I4" s="2"/>
      <c r="J4" s="3"/>
      <c r="K4" s="3"/>
      <c r="L4" s="3"/>
      <c r="M4" s="3"/>
      <c r="N4" s="3"/>
      <c r="O4" s="3"/>
      <c r="P4" s="4"/>
    </row>
    <row r="5" spans="3:16" ht="15.95" customHeight="1" x14ac:dyDescent="0.3">
      <c r="C5" s="19"/>
      <c r="D5" s="20"/>
      <c r="E5" s="20"/>
      <c r="F5" s="20"/>
      <c r="G5" s="21"/>
      <c r="I5" s="5"/>
      <c r="J5" s="38" t="s">
        <v>14</v>
      </c>
      <c r="K5" s="6"/>
      <c r="L5" s="6"/>
      <c r="M5" s="6"/>
      <c r="N5" s="6"/>
      <c r="O5" s="6"/>
      <c r="P5" s="8"/>
    </row>
    <row r="6" spans="3:16" ht="15.95" customHeight="1" x14ac:dyDescent="0.25">
      <c r="C6" s="22" t="s">
        <v>1</v>
      </c>
      <c r="D6" s="20"/>
      <c r="E6" s="23" t="s">
        <v>2</v>
      </c>
      <c r="F6" s="20"/>
      <c r="G6" s="24" t="s">
        <v>3</v>
      </c>
      <c r="I6" s="5"/>
      <c r="J6" s="6"/>
      <c r="K6" s="6"/>
      <c r="L6" s="39" t="s">
        <v>15</v>
      </c>
      <c r="M6" s="37">
        <v>2</v>
      </c>
      <c r="N6" s="39" t="s">
        <v>8</v>
      </c>
      <c r="O6" s="37">
        <v>32</v>
      </c>
      <c r="P6" s="8"/>
    </row>
    <row r="7" spans="3:16" ht="15.95" customHeight="1" x14ac:dyDescent="0.25">
      <c r="C7" s="19"/>
      <c r="D7" s="20"/>
      <c r="E7" s="25"/>
      <c r="F7" s="20"/>
      <c r="G7" s="26"/>
      <c r="I7" s="5"/>
      <c r="J7" s="6"/>
      <c r="K7" s="6"/>
      <c r="L7" s="39" t="s">
        <v>16</v>
      </c>
      <c r="M7" s="37">
        <v>3</v>
      </c>
      <c r="N7" s="39" t="s">
        <v>58</v>
      </c>
      <c r="O7" s="37">
        <v>0.32</v>
      </c>
      <c r="P7" s="8"/>
    </row>
    <row r="8" spans="3:16" ht="15.95" customHeight="1" x14ac:dyDescent="0.25">
      <c r="C8" s="27"/>
      <c r="D8" s="28"/>
      <c r="E8" s="28"/>
      <c r="F8" s="28"/>
      <c r="G8" s="29"/>
      <c r="I8" s="5"/>
      <c r="J8" s="6"/>
      <c r="K8" s="6"/>
      <c r="L8" s="6"/>
      <c r="M8" s="6"/>
      <c r="N8" s="6"/>
      <c r="O8" s="6"/>
      <c r="P8" s="8"/>
    </row>
    <row r="9" spans="3:16" ht="15.95" customHeight="1" x14ac:dyDescent="0.25">
      <c r="C9" s="279" t="s">
        <v>0</v>
      </c>
      <c r="D9" s="280"/>
      <c r="E9" s="280"/>
      <c r="F9" s="280"/>
      <c r="G9" s="281"/>
      <c r="I9" s="5"/>
      <c r="J9" s="35" t="s">
        <v>9</v>
      </c>
      <c r="K9" s="35" t="s">
        <v>10</v>
      </c>
      <c r="L9" s="35" t="s">
        <v>11</v>
      </c>
      <c r="M9" s="42" t="s">
        <v>17</v>
      </c>
      <c r="N9" s="35" t="s">
        <v>12</v>
      </c>
      <c r="O9" s="35" t="s">
        <v>13</v>
      </c>
      <c r="P9" s="8"/>
    </row>
    <row r="10" spans="3:16" ht="15.95" customHeight="1" x14ac:dyDescent="0.25">
      <c r="C10" s="2"/>
      <c r="D10" s="3"/>
      <c r="E10" s="3"/>
      <c r="F10" s="3"/>
      <c r="G10" s="4"/>
      <c r="I10" s="265" t="s">
        <v>81</v>
      </c>
      <c r="J10" s="40">
        <v>7.5</v>
      </c>
      <c r="K10" s="40">
        <v>0</v>
      </c>
      <c r="L10" s="40">
        <v>0</v>
      </c>
      <c r="M10" s="44">
        <v>1</v>
      </c>
      <c r="N10" s="40">
        <v>0.16</v>
      </c>
      <c r="O10" s="41">
        <v>7.5164363636363634</v>
      </c>
      <c r="P10" s="8"/>
    </row>
    <row r="11" spans="3:16" ht="15.95" customHeight="1" x14ac:dyDescent="0.25">
      <c r="C11" s="5"/>
      <c r="D11" s="6"/>
      <c r="E11" s="7" t="s">
        <v>57</v>
      </c>
      <c r="F11" s="6"/>
      <c r="G11" s="8"/>
      <c r="I11" s="265" t="s">
        <v>82</v>
      </c>
      <c r="J11" s="40">
        <v>9.76</v>
      </c>
      <c r="K11" s="40">
        <v>22</v>
      </c>
      <c r="L11" s="40">
        <v>0</v>
      </c>
      <c r="M11" s="44">
        <v>2</v>
      </c>
      <c r="N11" s="40">
        <v>0.48</v>
      </c>
      <c r="O11" s="41">
        <v>7.549309090909091</v>
      </c>
      <c r="P11" s="8"/>
    </row>
    <row r="12" spans="3:16" ht="15.95" customHeight="1" x14ac:dyDescent="0.25">
      <c r="C12" s="34"/>
      <c r="D12" s="6"/>
      <c r="E12" s="6"/>
      <c r="F12" s="6"/>
      <c r="G12" s="8"/>
      <c r="I12" s="265" t="s">
        <v>83</v>
      </c>
      <c r="J12" s="40">
        <v>14.75</v>
      </c>
      <c r="K12" s="40">
        <v>32</v>
      </c>
      <c r="L12" s="40">
        <v>0</v>
      </c>
      <c r="M12" s="44">
        <v>3</v>
      </c>
      <c r="N12" s="40">
        <v>0.8</v>
      </c>
      <c r="O12" s="41">
        <v>7.5821818181818186</v>
      </c>
      <c r="P12" s="8"/>
    </row>
    <row r="13" spans="3:16" ht="15.95" customHeight="1" x14ac:dyDescent="0.25">
      <c r="C13" s="9"/>
      <c r="D13" s="10" t="s">
        <v>8</v>
      </c>
      <c r="E13" s="30">
        <v>32</v>
      </c>
      <c r="F13" s="6" t="s">
        <v>5</v>
      </c>
      <c r="G13" s="8"/>
      <c r="I13" s="266" t="s">
        <v>84</v>
      </c>
      <c r="J13" s="36"/>
      <c r="K13" s="36"/>
      <c r="L13" s="36"/>
      <c r="M13" s="45">
        <v>4</v>
      </c>
      <c r="N13" s="40">
        <v>1.1200000000000001</v>
      </c>
      <c r="O13" s="41">
        <v>7.6150545454545453</v>
      </c>
      <c r="P13" s="8"/>
    </row>
    <row r="14" spans="3:16" ht="15.95" customHeight="1" x14ac:dyDescent="0.25">
      <c r="C14" s="9"/>
      <c r="D14" s="10" t="s">
        <v>161</v>
      </c>
      <c r="E14" s="30">
        <v>0</v>
      </c>
      <c r="F14" s="6" t="s">
        <v>5</v>
      </c>
      <c r="G14" s="8"/>
      <c r="I14" s="5"/>
      <c r="J14" s="6"/>
      <c r="K14" s="6"/>
      <c r="L14" s="6"/>
      <c r="M14" s="44">
        <v>5</v>
      </c>
      <c r="N14" s="40">
        <v>1.44</v>
      </c>
      <c r="O14" s="41">
        <v>7.6479272727272729</v>
      </c>
      <c r="P14" s="8"/>
    </row>
    <row r="15" spans="3:16" ht="15.95" customHeight="1" x14ac:dyDescent="0.25">
      <c r="C15" s="9"/>
      <c r="D15" s="10" t="s">
        <v>162</v>
      </c>
      <c r="E15" s="30">
        <v>7.5</v>
      </c>
      <c r="F15" s="6" t="s">
        <v>5</v>
      </c>
      <c r="G15" s="8"/>
      <c r="I15" s="5"/>
      <c r="J15" s="6"/>
      <c r="K15" s="6"/>
      <c r="L15" s="6"/>
      <c r="M15" s="44">
        <v>6</v>
      </c>
      <c r="N15" s="40">
        <v>1.76</v>
      </c>
      <c r="O15" s="41">
        <v>7.6807999999999996</v>
      </c>
      <c r="P15" s="8"/>
    </row>
    <row r="16" spans="3:16" ht="15.95" customHeight="1" x14ac:dyDescent="0.25">
      <c r="C16" s="9"/>
      <c r="D16" s="10" t="s">
        <v>163</v>
      </c>
      <c r="E16" s="30">
        <v>0</v>
      </c>
      <c r="F16" s="6" t="s">
        <v>5</v>
      </c>
      <c r="G16" s="8"/>
      <c r="I16" s="5"/>
      <c r="J16" s="6"/>
      <c r="K16" s="6"/>
      <c r="L16" s="6"/>
      <c r="M16" s="44">
        <v>7</v>
      </c>
      <c r="N16" s="40">
        <v>2.08</v>
      </c>
      <c r="O16" s="41">
        <v>7.7136727272727272</v>
      </c>
      <c r="P16" s="8"/>
    </row>
    <row r="17" spans="3:16" ht="15.95" customHeight="1" x14ac:dyDescent="0.25">
      <c r="C17" s="9"/>
      <c r="D17" s="10" t="s">
        <v>165</v>
      </c>
      <c r="E17" s="30">
        <v>9.76</v>
      </c>
      <c r="F17" s="6" t="s">
        <v>5</v>
      </c>
      <c r="G17" s="8"/>
      <c r="I17" s="5"/>
      <c r="J17" s="6"/>
      <c r="K17" s="6"/>
      <c r="L17" s="6"/>
      <c r="M17" s="44">
        <v>8</v>
      </c>
      <c r="N17" s="40">
        <v>2.4</v>
      </c>
      <c r="O17" s="41">
        <v>7.7465454545454548</v>
      </c>
      <c r="P17" s="8"/>
    </row>
    <row r="18" spans="3:16" ht="15.95" customHeight="1" x14ac:dyDescent="0.25">
      <c r="C18" s="9"/>
      <c r="D18" s="10" t="s">
        <v>164</v>
      </c>
      <c r="E18" s="30">
        <v>0</v>
      </c>
      <c r="F18" s="6" t="s">
        <v>5</v>
      </c>
      <c r="G18" s="8"/>
      <c r="I18" s="5"/>
      <c r="J18" s="6"/>
      <c r="K18" s="6"/>
      <c r="L18" s="6"/>
      <c r="M18" s="44">
        <v>9</v>
      </c>
      <c r="N18" s="40">
        <v>2.72</v>
      </c>
      <c r="O18" s="41">
        <v>7.7794181818181816</v>
      </c>
      <c r="P18" s="8"/>
    </row>
    <row r="19" spans="3:16" ht="15.95" customHeight="1" x14ac:dyDescent="0.25">
      <c r="C19" s="9"/>
      <c r="D19" s="10" t="s">
        <v>166</v>
      </c>
      <c r="E19" s="30">
        <v>14.75</v>
      </c>
      <c r="F19" s="6" t="s">
        <v>5</v>
      </c>
      <c r="G19" s="8"/>
      <c r="I19" s="5"/>
      <c r="J19" s="6"/>
      <c r="K19" s="6"/>
      <c r="L19" s="6"/>
      <c r="M19" s="44">
        <v>10</v>
      </c>
      <c r="N19" s="40">
        <v>3.04</v>
      </c>
      <c r="O19" s="41">
        <v>7.8122909090909092</v>
      </c>
      <c r="P19" s="8"/>
    </row>
    <row r="20" spans="3:16" ht="15.95" customHeight="1" x14ac:dyDescent="0.25">
      <c r="C20" s="9"/>
      <c r="D20" s="10" t="s">
        <v>167</v>
      </c>
      <c r="E20" s="30"/>
      <c r="F20" s="6" t="s">
        <v>5</v>
      </c>
      <c r="G20" s="8"/>
      <c r="I20" s="5"/>
      <c r="J20" s="6"/>
      <c r="K20" s="6"/>
      <c r="L20" s="6"/>
      <c r="M20" s="44">
        <v>11</v>
      </c>
      <c r="N20" s="40">
        <v>3.36</v>
      </c>
      <c r="O20" s="41">
        <v>7.8451636363636368</v>
      </c>
      <c r="P20" s="8"/>
    </row>
    <row r="21" spans="3:16" ht="15.95" customHeight="1" x14ac:dyDescent="0.25">
      <c r="C21" s="9"/>
      <c r="D21" s="10" t="s">
        <v>168</v>
      </c>
      <c r="E21" s="30"/>
      <c r="F21" s="6" t="s">
        <v>5</v>
      </c>
      <c r="G21" s="8"/>
      <c r="I21" s="5"/>
      <c r="J21" s="6"/>
      <c r="K21" s="6"/>
      <c r="L21" s="6"/>
      <c r="M21" s="44">
        <v>12</v>
      </c>
      <c r="N21" s="40">
        <v>3.68</v>
      </c>
      <c r="O21" s="41">
        <v>7.8780363636363635</v>
      </c>
      <c r="P21" s="8"/>
    </row>
    <row r="22" spans="3:16" ht="15.95" customHeight="1" x14ac:dyDescent="0.25">
      <c r="C22" s="9"/>
      <c r="D22" s="10" t="s">
        <v>169</v>
      </c>
      <c r="E22" s="30">
        <v>0</v>
      </c>
      <c r="F22" s="6" t="s">
        <v>5</v>
      </c>
      <c r="G22" s="8"/>
      <c r="I22" s="5"/>
      <c r="J22" s="6"/>
      <c r="K22" s="6"/>
      <c r="L22" s="6"/>
      <c r="M22" s="44">
        <v>13</v>
      </c>
      <c r="N22" s="40">
        <v>4</v>
      </c>
      <c r="O22" s="41">
        <v>7.9109090909090911</v>
      </c>
      <c r="P22" s="8"/>
    </row>
    <row r="23" spans="3:16" ht="15.95" customHeight="1" x14ac:dyDescent="0.25">
      <c r="C23" s="9"/>
      <c r="D23" s="10" t="s">
        <v>170</v>
      </c>
      <c r="E23" s="30">
        <v>22</v>
      </c>
      <c r="F23" s="6" t="s">
        <v>5</v>
      </c>
      <c r="G23" s="8"/>
      <c r="I23" s="5"/>
      <c r="J23" s="6"/>
      <c r="K23" s="6"/>
      <c r="L23" s="6"/>
      <c r="M23" s="44">
        <v>14</v>
      </c>
      <c r="N23" s="40">
        <v>4.32</v>
      </c>
      <c r="O23" s="41">
        <v>7.9437818181818178</v>
      </c>
      <c r="P23" s="8"/>
    </row>
    <row r="24" spans="3:16" ht="15.95" customHeight="1" x14ac:dyDescent="0.25">
      <c r="C24" s="9"/>
      <c r="D24" s="10" t="s">
        <v>171</v>
      </c>
      <c r="E24" s="30">
        <v>32</v>
      </c>
      <c r="F24" s="6" t="s">
        <v>5</v>
      </c>
      <c r="G24" s="8"/>
      <c r="I24" s="5"/>
      <c r="J24" s="6"/>
      <c r="K24" s="6"/>
      <c r="L24" s="6"/>
      <c r="M24" s="44">
        <v>15</v>
      </c>
      <c r="N24" s="40">
        <v>4.6399999999999997</v>
      </c>
      <c r="O24" s="41">
        <v>7.9766545454545454</v>
      </c>
      <c r="P24" s="8"/>
    </row>
    <row r="25" spans="3:16" ht="15.95" customHeight="1" x14ac:dyDescent="0.25">
      <c r="C25" s="9"/>
      <c r="D25" s="10" t="s">
        <v>172</v>
      </c>
      <c r="E25" s="30"/>
      <c r="F25" s="6" t="s">
        <v>5</v>
      </c>
      <c r="G25" s="8"/>
      <c r="I25" s="5"/>
      <c r="J25" s="6"/>
      <c r="K25" s="6"/>
      <c r="L25" s="6"/>
      <c r="M25" s="44">
        <v>16</v>
      </c>
      <c r="N25" s="40">
        <v>4.96</v>
      </c>
      <c r="O25" s="41">
        <v>8.0095272727272722</v>
      </c>
      <c r="P25" s="8"/>
    </row>
    <row r="26" spans="3:16" ht="15.95" customHeight="1" thickBot="1" x14ac:dyDescent="0.3">
      <c r="C26" s="5"/>
      <c r="D26" s="11"/>
      <c r="E26" s="31"/>
      <c r="F26" s="6"/>
      <c r="G26" s="8"/>
      <c r="I26" s="5"/>
      <c r="J26" s="6"/>
      <c r="K26" s="6"/>
      <c r="L26" s="6"/>
      <c r="M26" s="44">
        <v>17</v>
      </c>
      <c r="N26" s="40">
        <v>5.28</v>
      </c>
      <c r="O26" s="41">
        <v>8.0424000000000007</v>
      </c>
      <c r="P26" s="8"/>
    </row>
    <row r="27" spans="3:16" ht="15.95" customHeight="1" thickBot="1" x14ac:dyDescent="0.3">
      <c r="C27" s="5"/>
      <c r="D27" s="10" t="s">
        <v>6</v>
      </c>
      <c r="E27" s="32">
        <v>2</v>
      </c>
      <c r="F27" s="6"/>
      <c r="G27" s="8"/>
      <c r="I27" s="5"/>
      <c r="J27" s="6"/>
      <c r="K27" s="6"/>
      <c r="L27" s="6"/>
      <c r="M27" s="44">
        <v>18</v>
      </c>
      <c r="N27" s="40">
        <v>5.6000000000000005</v>
      </c>
      <c r="O27" s="41">
        <v>8.0752727272727274</v>
      </c>
      <c r="P27" s="8"/>
    </row>
    <row r="28" spans="3:16" ht="15.95" customHeight="1" thickBot="1" x14ac:dyDescent="0.3">
      <c r="C28" s="5"/>
      <c r="D28" s="10" t="s">
        <v>7</v>
      </c>
      <c r="E28" s="33">
        <v>3</v>
      </c>
      <c r="F28" s="6"/>
      <c r="G28" s="8"/>
      <c r="I28" s="5"/>
      <c r="J28" s="6"/>
      <c r="K28" s="6"/>
      <c r="L28" s="6"/>
      <c r="M28" s="44">
        <v>19</v>
      </c>
      <c r="N28" s="40">
        <v>5.92</v>
      </c>
      <c r="O28" s="41">
        <v>8.1081454545454541</v>
      </c>
      <c r="P28" s="8"/>
    </row>
    <row r="29" spans="3:16" ht="15.95" customHeight="1" x14ac:dyDescent="0.25">
      <c r="C29" s="5"/>
      <c r="D29" s="10"/>
      <c r="E29" s="89"/>
      <c r="F29" s="6"/>
      <c r="G29" s="8"/>
      <c r="I29" s="5"/>
      <c r="J29" s="6"/>
      <c r="K29" s="6"/>
      <c r="L29" s="6"/>
      <c r="M29" s="44">
        <v>20</v>
      </c>
      <c r="N29" s="40">
        <v>6.24</v>
      </c>
      <c r="O29" s="41">
        <v>8.1410181818181826</v>
      </c>
      <c r="P29" s="8"/>
    </row>
    <row r="30" spans="3:16" ht="15.95" customHeight="1" x14ac:dyDescent="0.25">
      <c r="C30" s="5"/>
      <c r="D30" s="10"/>
      <c r="E30" s="6"/>
      <c r="F30" s="6"/>
      <c r="G30" s="8"/>
      <c r="I30" s="5"/>
      <c r="J30" s="6"/>
      <c r="K30" s="6"/>
      <c r="L30" s="6"/>
      <c r="M30" s="44">
        <v>21</v>
      </c>
      <c r="N30" s="40">
        <v>6.5600000000000005</v>
      </c>
      <c r="O30" s="41">
        <v>8.1738909090909093</v>
      </c>
      <c r="P30" s="8"/>
    </row>
    <row r="31" spans="3:16" ht="15.95" customHeight="1" x14ac:dyDescent="0.25">
      <c r="C31" s="12"/>
      <c r="D31" s="13"/>
      <c r="E31" s="13"/>
      <c r="F31" s="13"/>
      <c r="G31" s="14"/>
      <c r="I31" s="5"/>
      <c r="J31" s="6"/>
      <c r="K31" s="6"/>
      <c r="L31" s="6"/>
      <c r="M31" s="44">
        <v>22</v>
      </c>
      <c r="N31" s="40">
        <v>6.88</v>
      </c>
      <c r="O31" s="41">
        <v>8.206763636363636</v>
      </c>
      <c r="P31" s="8"/>
    </row>
    <row r="32" spans="3:16" ht="15.95" customHeight="1" thickBot="1" x14ac:dyDescent="0.3">
      <c r="I32" s="5"/>
      <c r="J32" s="6"/>
      <c r="K32" s="6"/>
      <c r="L32" s="6"/>
      <c r="M32" s="44">
        <v>23</v>
      </c>
      <c r="N32" s="40">
        <v>7.2</v>
      </c>
      <c r="O32" s="41">
        <v>8.2396363636363645</v>
      </c>
      <c r="P32" s="8"/>
    </row>
    <row r="33" spans="3:16" ht="15.95" customHeight="1" thickBot="1" x14ac:dyDescent="0.3">
      <c r="I33" s="5"/>
      <c r="J33" s="214" t="s">
        <v>56</v>
      </c>
      <c r="K33" s="215" t="s">
        <v>115</v>
      </c>
      <c r="L33" s="6"/>
      <c r="M33" s="44">
        <v>24</v>
      </c>
      <c r="N33" s="40">
        <v>7.5200000000000005</v>
      </c>
      <c r="O33" s="41">
        <v>8.2725090909090913</v>
      </c>
      <c r="P33" s="8"/>
    </row>
    <row r="34" spans="3:16" ht="15.95" customHeight="1" x14ac:dyDescent="0.25">
      <c r="C34" s="282" t="s">
        <v>173</v>
      </c>
      <c r="D34" s="283"/>
      <c r="E34" s="283"/>
      <c r="F34" s="283"/>
      <c r="G34" s="284"/>
      <c r="I34" s="5"/>
      <c r="J34" s="216">
        <v>11</v>
      </c>
      <c r="K34" s="213">
        <v>0</v>
      </c>
      <c r="L34" s="6"/>
      <c r="M34" s="44">
        <v>25</v>
      </c>
      <c r="N34" s="40">
        <v>7.84</v>
      </c>
      <c r="O34" s="41">
        <v>8.305381818181818</v>
      </c>
      <c r="P34" s="8"/>
    </row>
    <row r="35" spans="3:16" ht="15.95" customHeight="1" thickBot="1" x14ac:dyDescent="0.3">
      <c r="C35" s="285"/>
      <c r="D35" s="286"/>
      <c r="E35" s="286"/>
      <c r="F35" s="286"/>
      <c r="G35" s="287"/>
      <c r="I35" s="5"/>
      <c r="J35" s="216">
        <v>11</v>
      </c>
      <c r="K35" s="213">
        <v>-22</v>
      </c>
      <c r="L35" s="6"/>
      <c r="M35" s="44">
        <v>26</v>
      </c>
      <c r="N35" s="40">
        <v>8.16</v>
      </c>
      <c r="O35" s="41">
        <v>8.3382545454545447</v>
      </c>
      <c r="P35" s="8"/>
    </row>
    <row r="36" spans="3:16" ht="15.95" customHeight="1" x14ac:dyDescent="0.25">
      <c r="C36" s="268"/>
      <c r="D36" s="269"/>
      <c r="E36" s="269"/>
      <c r="F36" s="269"/>
      <c r="G36" s="270"/>
      <c r="I36" s="5"/>
      <c r="J36" s="216">
        <v>11</v>
      </c>
      <c r="K36" s="213">
        <v>-32</v>
      </c>
      <c r="L36" s="6"/>
      <c r="M36" s="44">
        <v>27</v>
      </c>
      <c r="N36" s="40">
        <v>8.48</v>
      </c>
      <c r="O36" s="41">
        <v>8.3711272727272732</v>
      </c>
      <c r="P36" s="8"/>
    </row>
    <row r="37" spans="3:16" ht="15.95" customHeight="1" x14ac:dyDescent="0.3">
      <c r="C37" s="271" t="s">
        <v>174</v>
      </c>
      <c r="D37" s="272" t="s">
        <v>175</v>
      </c>
      <c r="E37" s="272"/>
      <c r="F37" s="272"/>
      <c r="G37" s="273"/>
      <c r="I37" s="5"/>
      <c r="J37" s="216">
        <v>25.75</v>
      </c>
      <c r="K37" s="213">
        <v>-32</v>
      </c>
      <c r="L37" s="6"/>
      <c r="M37" s="44">
        <v>28</v>
      </c>
      <c r="N37" s="40">
        <v>8.8000000000000007</v>
      </c>
      <c r="O37" s="41">
        <v>8.4039999999999999</v>
      </c>
      <c r="P37" s="8"/>
    </row>
    <row r="38" spans="3:16" ht="15.95" customHeight="1" x14ac:dyDescent="0.25">
      <c r="C38" s="268"/>
      <c r="D38" s="272" t="s">
        <v>179</v>
      </c>
      <c r="E38" s="272"/>
      <c r="F38" s="272"/>
      <c r="G38" s="273"/>
      <c r="I38" s="5"/>
      <c r="J38" s="216">
        <v>20.759999999999998</v>
      </c>
      <c r="K38" s="213">
        <v>-22</v>
      </c>
      <c r="L38" s="6"/>
      <c r="M38" s="44">
        <v>29</v>
      </c>
      <c r="N38" s="40">
        <v>9.120000000000001</v>
      </c>
      <c r="O38" s="41">
        <v>8.4368727272727266</v>
      </c>
      <c r="P38" s="8"/>
    </row>
    <row r="39" spans="3:16" ht="15.95" customHeight="1" x14ac:dyDescent="0.25">
      <c r="C39" s="268"/>
      <c r="D39" s="272" t="s">
        <v>180</v>
      </c>
      <c r="E39" s="272"/>
      <c r="F39" s="272"/>
      <c r="G39" s="273"/>
      <c r="I39" s="5"/>
      <c r="J39" s="216">
        <v>18.5</v>
      </c>
      <c r="K39" s="213">
        <v>0</v>
      </c>
      <c r="L39" s="6"/>
      <c r="M39" s="44">
        <v>30</v>
      </c>
      <c r="N39" s="40">
        <v>9.44</v>
      </c>
      <c r="O39" s="41">
        <v>8.4697454545454551</v>
      </c>
      <c r="P39" s="8"/>
    </row>
    <row r="40" spans="3:16" ht="15.95" customHeight="1" x14ac:dyDescent="0.25">
      <c r="C40" s="268"/>
      <c r="D40" s="272" t="s">
        <v>176</v>
      </c>
      <c r="E40" s="272"/>
      <c r="F40" s="272"/>
      <c r="G40" s="273"/>
      <c r="I40" s="5"/>
      <c r="J40" s="216">
        <v>11</v>
      </c>
      <c r="K40" s="213">
        <v>0</v>
      </c>
      <c r="L40" s="6"/>
      <c r="M40" s="44">
        <v>31</v>
      </c>
      <c r="N40" s="40">
        <v>9.76</v>
      </c>
      <c r="O40" s="41">
        <v>8.5026181818181819</v>
      </c>
      <c r="P40" s="8"/>
    </row>
    <row r="41" spans="3:16" ht="15.95" customHeight="1" x14ac:dyDescent="0.25">
      <c r="C41" s="268"/>
      <c r="D41" s="269" t="s">
        <v>182</v>
      </c>
      <c r="E41" s="269"/>
      <c r="F41" s="269"/>
      <c r="G41" s="270"/>
      <c r="I41" s="5"/>
      <c r="J41" s="216"/>
      <c r="K41" s="213"/>
      <c r="L41" s="6"/>
      <c r="M41" s="44">
        <v>32</v>
      </c>
      <c r="N41" s="40">
        <v>10.08</v>
      </c>
      <c r="O41" s="41">
        <v>8.5354909090909086</v>
      </c>
      <c r="P41" s="8"/>
    </row>
    <row r="42" spans="3:16" ht="15.95" customHeight="1" thickBot="1" x14ac:dyDescent="0.3">
      <c r="C42" s="268"/>
      <c r="D42" s="269"/>
      <c r="E42" s="269"/>
      <c r="F42" s="269"/>
      <c r="G42" s="270"/>
      <c r="I42" s="5"/>
      <c r="J42" s="217"/>
      <c r="K42" s="218"/>
      <c r="L42" s="6"/>
      <c r="M42" s="44">
        <v>33</v>
      </c>
      <c r="N42" s="40">
        <v>10.4</v>
      </c>
      <c r="O42" s="41">
        <v>8.5683636363636371</v>
      </c>
      <c r="P42" s="8"/>
    </row>
    <row r="43" spans="3:16" ht="15.95" customHeight="1" x14ac:dyDescent="0.3">
      <c r="C43" s="271" t="s">
        <v>177</v>
      </c>
      <c r="D43" s="272" t="s">
        <v>181</v>
      </c>
      <c r="E43" s="272"/>
      <c r="F43" s="272"/>
      <c r="G43" s="273"/>
      <c r="I43" s="5"/>
      <c r="J43" s="6"/>
      <c r="K43" s="6"/>
      <c r="L43" s="6"/>
      <c r="M43" s="44">
        <v>34</v>
      </c>
      <c r="N43" s="40">
        <v>10.72</v>
      </c>
      <c r="O43" s="41">
        <v>8.6012363636363638</v>
      </c>
      <c r="P43" s="8"/>
    </row>
    <row r="44" spans="3:16" ht="15.95" customHeight="1" x14ac:dyDescent="0.25">
      <c r="C44" s="268"/>
      <c r="D44" s="272" t="s">
        <v>196</v>
      </c>
      <c r="E44" s="272"/>
      <c r="F44" s="272"/>
      <c r="G44" s="273"/>
      <c r="I44" s="5"/>
      <c r="J44" s="6"/>
      <c r="K44" s="6"/>
      <c r="L44" s="6"/>
      <c r="M44" s="44">
        <v>35</v>
      </c>
      <c r="N44" s="40">
        <v>11.040000000000001</v>
      </c>
      <c r="O44" s="41">
        <v>8.6341090909090905</v>
      </c>
      <c r="P44" s="8"/>
    </row>
    <row r="45" spans="3:16" ht="15.95" customHeight="1" x14ac:dyDescent="0.25">
      <c r="C45" s="268"/>
      <c r="D45" s="272" t="s">
        <v>178</v>
      </c>
      <c r="E45" s="272"/>
      <c r="F45" s="272"/>
      <c r="G45" s="273"/>
      <c r="I45" s="5"/>
      <c r="J45" s="6"/>
      <c r="K45" s="6"/>
      <c r="L45" s="6"/>
      <c r="M45" s="44">
        <v>36</v>
      </c>
      <c r="N45" s="40">
        <v>11.36</v>
      </c>
      <c r="O45" s="41">
        <v>8.6669818181818172</v>
      </c>
      <c r="P45" s="8"/>
    </row>
    <row r="46" spans="3:16" ht="15.95" customHeight="1" thickBot="1" x14ac:dyDescent="0.3">
      <c r="C46" s="274"/>
      <c r="D46" s="275"/>
      <c r="E46" s="275"/>
      <c r="F46" s="275"/>
      <c r="G46" s="276"/>
      <c r="I46" s="5"/>
      <c r="J46" s="6"/>
      <c r="K46" s="6"/>
      <c r="L46" s="6"/>
      <c r="M46" s="44">
        <v>37</v>
      </c>
      <c r="N46" s="40">
        <v>11.68</v>
      </c>
      <c r="O46" s="41">
        <v>8.6998545454545457</v>
      </c>
      <c r="P46" s="8"/>
    </row>
    <row r="47" spans="3:16" ht="15.95" customHeight="1" x14ac:dyDescent="0.25">
      <c r="D47" s="267"/>
      <c r="E47" s="267"/>
      <c r="F47" s="267"/>
      <c r="G47" s="267"/>
      <c r="I47" s="5"/>
      <c r="J47" s="6"/>
      <c r="K47" s="6"/>
      <c r="L47" s="6"/>
      <c r="M47" s="44">
        <v>38</v>
      </c>
      <c r="N47" s="40">
        <v>12</v>
      </c>
      <c r="O47" s="41">
        <v>8.7327272727272724</v>
      </c>
      <c r="P47" s="8"/>
    </row>
    <row r="48" spans="3:16" ht="15.95" customHeight="1" x14ac:dyDescent="0.25">
      <c r="I48" s="5"/>
      <c r="J48" s="6"/>
      <c r="K48" s="6"/>
      <c r="L48" s="6"/>
      <c r="M48" s="44">
        <v>39</v>
      </c>
      <c r="N48" s="40">
        <v>12.32</v>
      </c>
      <c r="O48" s="41">
        <v>8.7655999999999992</v>
      </c>
      <c r="P48" s="8"/>
    </row>
    <row r="49" spans="9:16" ht="15.95" customHeight="1" x14ac:dyDescent="0.25">
      <c r="I49" s="5"/>
      <c r="J49" s="6"/>
      <c r="K49" s="6"/>
      <c r="L49" s="6"/>
      <c r="M49" s="44">
        <v>40</v>
      </c>
      <c r="N49" s="40">
        <v>12.64</v>
      </c>
      <c r="O49" s="41">
        <v>8.7984727272727277</v>
      </c>
      <c r="P49" s="8"/>
    </row>
    <row r="50" spans="9:16" ht="15.95" customHeight="1" x14ac:dyDescent="0.25">
      <c r="I50" s="5"/>
      <c r="J50" s="6"/>
      <c r="K50" s="6"/>
      <c r="L50" s="6"/>
      <c r="M50" s="44">
        <v>41</v>
      </c>
      <c r="N50" s="40">
        <v>12.96</v>
      </c>
      <c r="O50" s="41">
        <v>8.8313454545454544</v>
      </c>
      <c r="P50" s="8"/>
    </row>
    <row r="51" spans="9:16" ht="15.95" customHeight="1" x14ac:dyDescent="0.25">
      <c r="I51" s="5"/>
      <c r="J51" s="6"/>
      <c r="K51" s="6"/>
      <c r="L51" s="6"/>
      <c r="M51" s="44">
        <v>42</v>
      </c>
      <c r="N51" s="40">
        <v>13.280000000000001</v>
      </c>
      <c r="O51" s="41">
        <v>8.8642181818181811</v>
      </c>
      <c r="P51" s="8"/>
    </row>
    <row r="52" spans="9:16" ht="15.95" customHeight="1" x14ac:dyDescent="0.25">
      <c r="I52" s="5"/>
      <c r="J52" s="6"/>
      <c r="K52" s="6"/>
      <c r="L52" s="6"/>
      <c r="M52" s="44">
        <v>43</v>
      </c>
      <c r="N52" s="40">
        <v>13.6</v>
      </c>
      <c r="O52" s="41">
        <v>8.8970909090909096</v>
      </c>
      <c r="P52" s="8"/>
    </row>
    <row r="53" spans="9:16" ht="15.95" customHeight="1" x14ac:dyDescent="0.25">
      <c r="I53" s="5"/>
      <c r="J53" s="6"/>
      <c r="K53" s="6"/>
      <c r="L53" s="6"/>
      <c r="M53" s="44">
        <v>44</v>
      </c>
      <c r="N53" s="40">
        <v>13.92</v>
      </c>
      <c r="O53" s="41">
        <v>8.9299636363636363</v>
      </c>
      <c r="P53" s="8"/>
    </row>
    <row r="54" spans="9:16" ht="15.95" customHeight="1" x14ac:dyDescent="0.25">
      <c r="I54" s="5"/>
      <c r="J54" s="6"/>
      <c r="K54" s="6"/>
      <c r="L54" s="6"/>
      <c r="M54" s="44">
        <v>45</v>
      </c>
      <c r="N54" s="40">
        <v>14.24</v>
      </c>
      <c r="O54" s="41">
        <v>8.962836363636363</v>
      </c>
      <c r="P54" s="8"/>
    </row>
    <row r="55" spans="9:16" ht="15.95" customHeight="1" x14ac:dyDescent="0.25">
      <c r="I55" s="5"/>
      <c r="J55" s="6"/>
      <c r="K55" s="6"/>
      <c r="L55" s="6"/>
      <c r="M55" s="44">
        <v>46</v>
      </c>
      <c r="N55" s="40">
        <v>14.56</v>
      </c>
      <c r="O55" s="41">
        <v>8.9957090909090915</v>
      </c>
      <c r="P55" s="8"/>
    </row>
    <row r="56" spans="9:16" ht="15.95" customHeight="1" x14ac:dyDescent="0.25">
      <c r="I56" s="5"/>
      <c r="J56" s="6"/>
      <c r="K56" s="6"/>
      <c r="L56" s="6"/>
      <c r="M56" s="44">
        <v>47</v>
      </c>
      <c r="N56" s="40">
        <v>14.88</v>
      </c>
      <c r="O56" s="41">
        <v>9.0285818181818183</v>
      </c>
      <c r="P56" s="8"/>
    </row>
    <row r="57" spans="9:16" ht="15.95" customHeight="1" x14ac:dyDescent="0.25">
      <c r="I57" s="5"/>
      <c r="J57" s="6"/>
      <c r="K57" s="6"/>
      <c r="L57" s="6"/>
      <c r="M57" s="44">
        <v>48</v>
      </c>
      <c r="N57" s="40">
        <v>15.200000000000001</v>
      </c>
      <c r="O57" s="41">
        <v>9.061454545454545</v>
      </c>
      <c r="P57" s="8"/>
    </row>
    <row r="58" spans="9:16" ht="15.95" customHeight="1" x14ac:dyDescent="0.25">
      <c r="I58" s="5"/>
      <c r="J58" s="6"/>
      <c r="K58" s="6"/>
      <c r="L58" s="6"/>
      <c r="M58" s="44">
        <v>49</v>
      </c>
      <c r="N58" s="40">
        <v>15.52</v>
      </c>
      <c r="O58" s="41">
        <v>9.0943272727272735</v>
      </c>
      <c r="P58" s="8"/>
    </row>
    <row r="59" spans="9:16" ht="15.95" customHeight="1" x14ac:dyDescent="0.25">
      <c r="I59" s="5"/>
      <c r="J59" s="6"/>
      <c r="K59" s="6"/>
      <c r="L59" s="6"/>
      <c r="M59" s="44">
        <v>50</v>
      </c>
      <c r="N59" s="40">
        <v>15.84</v>
      </c>
      <c r="O59" s="41">
        <v>9.1272000000000002</v>
      </c>
      <c r="P59" s="8"/>
    </row>
    <row r="60" spans="9:16" ht="15.95" customHeight="1" x14ac:dyDescent="0.25">
      <c r="I60" s="5"/>
      <c r="J60" s="6"/>
      <c r="K60" s="6"/>
      <c r="L60" s="6"/>
      <c r="M60" s="44">
        <v>51</v>
      </c>
      <c r="N60" s="40">
        <v>16.16</v>
      </c>
      <c r="O60" s="41">
        <v>9.1600727272727269</v>
      </c>
      <c r="P60" s="8"/>
    </row>
    <row r="61" spans="9:16" ht="15.95" customHeight="1" x14ac:dyDescent="0.25">
      <c r="I61" s="5"/>
      <c r="J61" s="6"/>
      <c r="K61" s="6"/>
      <c r="L61" s="6"/>
      <c r="M61" s="44">
        <v>52</v>
      </c>
      <c r="N61" s="40">
        <v>16.48</v>
      </c>
      <c r="O61" s="41">
        <v>9.1929454545454554</v>
      </c>
      <c r="P61" s="8"/>
    </row>
    <row r="62" spans="9:16" ht="15.95" customHeight="1" x14ac:dyDescent="0.25">
      <c r="I62" s="5"/>
      <c r="J62" s="6"/>
      <c r="K62" s="6"/>
      <c r="L62" s="6"/>
      <c r="M62" s="44">
        <v>53</v>
      </c>
      <c r="N62" s="40">
        <v>16.8</v>
      </c>
      <c r="O62" s="41">
        <v>9.2258181818181821</v>
      </c>
      <c r="P62" s="8"/>
    </row>
    <row r="63" spans="9:16" ht="15.95" customHeight="1" x14ac:dyDescent="0.25">
      <c r="I63" s="5"/>
      <c r="J63" s="6"/>
      <c r="K63" s="6"/>
      <c r="L63" s="6"/>
      <c r="M63" s="44">
        <v>54</v>
      </c>
      <c r="N63" s="40">
        <v>17.12</v>
      </c>
      <c r="O63" s="41">
        <v>9.2586909090909089</v>
      </c>
      <c r="P63" s="8"/>
    </row>
    <row r="64" spans="9:16" ht="15.95" customHeight="1" x14ac:dyDescent="0.25">
      <c r="I64" s="5"/>
      <c r="J64" s="6"/>
      <c r="K64" s="6"/>
      <c r="L64" s="6"/>
      <c r="M64" s="44">
        <v>55</v>
      </c>
      <c r="N64" s="40">
        <v>17.440000000000001</v>
      </c>
      <c r="O64" s="41">
        <v>9.2915636363636374</v>
      </c>
      <c r="P64" s="8"/>
    </row>
    <row r="65" spans="9:16" ht="15.95" customHeight="1" x14ac:dyDescent="0.25">
      <c r="I65" s="5"/>
      <c r="J65" s="6"/>
      <c r="K65" s="6"/>
      <c r="L65" s="6"/>
      <c r="M65" s="44">
        <v>56</v>
      </c>
      <c r="N65" s="40">
        <v>17.760000000000002</v>
      </c>
      <c r="O65" s="41">
        <v>9.3244363636363641</v>
      </c>
      <c r="P65" s="8"/>
    </row>
    <row r="66" spans="9:16" ht="15.95" customHeight="1" x14ac:dyDescent="0.25">
      <c r="I66" s="5"/>
      <c r="J66" s="6"/>
      <c r="K66" s="6"/>
      <c r="L66" s="6"/>
      <c r="M66" s="44">
        <v>57</v>
      </c>
      <c r="N66" s="40">
        <v>18.080000000000002</v>
      </c>
      <c r="O66" s="41">
        <v>9.3573090909090908</v>
      </c>
      <c r="P66" s="8"/>
    </row>
    <row r="67" spans="9:16" ht="15.95" customHeight="1" x14ac:dyDescent="0.25">
      <c r="I67" s="5"/>
      <c r="J67" s="6"/>
      <c r="K67" s="6"/>
      <c r="L67" s="6"/>
      <c r="M67" s="44">
        <v>58</v>
      </c>
      <c r="N67" s="40">
        <v>18.400000000000002</v>
      </c>
      <c r="O67" s="41">
        <v>9.3901818181818193</v>
      </c>
      <c r="P67" s="8"/>
    </row>
    <row r="68" spans="9:16" ht="15.95" customHeight="1" x14ac:dyDescent="0.25">
      <c r="I68" s="5"/>
      <c r="J68" s="6"/>
      <c r="K68" s="6"/>
      <c r="L68" s="6"/>
      <c r="M68" s="44">
        <v>59</v>
      </c>
      <c r="N68" s="40">
        <v>18.72</v>
      </c>
      <c r="O68" s="41">
        <v>9.423054545454546</v>
      </c>
      <c r="P68" s="8"/>
    </row>
    <row r="69" spans="9:16" ht="15.95" customHeight="1" x14ac:dyDescent="0.25">
      <c r="I69" s="5"/>
      <c r="J69" s="6"/>
      <c r="K69" s="6"/>
      <c r="L69" s="6"/>
      <c r="M69" s="44">
        <v>60</v>
      </c>
      <c r="N69" s="40">
        <v>19.04</v>
      </c>
      <c r="O69" s="41">
        <v>9.4559272727272727</v>
      </c>
      <c r="P69" s="8"/>
    </row>
    <row r="70" spans="9:16" ht="15.95" customHeight="1" x14ac:dyDescent="0.25">
      <c r="I70" s="5"/>
      <c r="J70" s="6"/>
      <c r="K70" s="6"/>
      <c r="L70" s="6"/>
      <c r="M70" s="44">
        <v>61</v>
      </c>
      <c r="N70" s="40">
        <v>19.36</v>
      </c>
      <c r="O70" s="41">
        <v>9.4887999999999995</v>
      </c>
      <c r="P70" s="8"/>
    </row>
    <row r="71" spans="9:16" ht="15.95" customHeight="1" x14ac:dyDescent="0.25">
      <c r="I71" s="5"/>
      <c r="J71" s="6"/>
      <c r="K71" s="6"/>
      <c r="L71" s="6"/>
      <c r="M71" s="44">
        <v>62</v>
      </c>
      <c r="N71" s="40">
        <v>19.68</v>
      </c>
      <c r="O71" s="41">
        <v>9.5216727272727262</v>
      </c>
      <c r="P71" s="8"/>
    </row>
    <row r="72" spans="9:16" ht="15.95" customHeight="1" x14ac:dyDescent="0.25">
      <c r="I72" s="5"/>
      <c r="J72" s="6"/>
      <c r="K72" s="6"/>
      <c r="L72" s="6"/>
      <c r="M72" s="44">
        <v>63</v>
      </c>
      <c r="N72" s="40">
        <v>20</v>
      </c>
      <c r="O72" s="41">
        <v>9.5545454545454547</v>
      </c>
      <c r="P72" s="8"/>
    </row>
    <row r="73" spans="9:16" ht="15.95" customHeight="1" x14ac:dyDescent="0.25">
      <c r="I73" s="5"/>
      <c r="J73" s="6"/>
      <c r="K73" s="6"/>
      <c r="L73" s="6"/>
      <c r="M73" s="44">
        <v>64</v>
      </c>
      <c r="N73" s="40">
        <v>20.32</v>
      </c>
      <c r="O73" s="41">
        <v>9.5874181818181814</v>
      </c>
      <c r="P73" s="8"/>
    </row>
    <row r="74" spans="9:16" ht="15.95" customHeight="1" x14ac:dyDescent="0.25">
      <c r="I74" s="5"/>
      <c r="J74" s="6"/>
      <c r="K74" s="6"/>
      <c r="L74" s="6"/>
      <c r="M74" s="44">
        <v>65</v>
      </c>
      <c r="N74" s="40">
        <v>20.64</v>
      </c>
      <c r="O74" s="41">
        <v>9.6202909090909081</v>
      </c>
      <c r="P74" s="8"/>
    </row>
    <row r="75" spans="9:16" ht="15.95" customHeight="1" x14ac:dyDescent="0.25">
      <c r="I75" s="5"/>
      <c r="J75" s="6"/>
      <c r="K75" s="6"/>
      <c r="L75" s="6"/>
      <c r="M75" s="44">
        <v>66</v>
      </c>
      <c r="N75" s="40">
        <v>20.96</v>
      </c>
      <c r="O75" s="41">
        <v>9.6531636363636366</v>
      </c>
      <c r="P75" s="8"/>
    </row>
    <row r="76" spans="9:16" ht="15.95" customHeight="1" x14ac:dyDescent="0.25">
      <c r="I76" s="5"/>
      <c r="J76" s="6"/>
      <c r="K76" s="6"/>
      <c r="L76" s="6"/>
      <c r="M76" s="44">
        <v>67</v>
      </c>
      <c r="N76" s="40">
        <v>21.28</v>
      </c>
      <c r="O76" s="41">
        <v>9.6860363636363633</v>
      </c>
      <c r="P76" s="8"/>
    </row>
    <row r="77" spans="9:16" ht="15.95" customHeight="1" x14ac:dyDescent="0.25">
      <c r="I77" s="5"/>
      <c r="J77" s="6"/>
      <c r="K77" s="6"/>
      <c r="L77" s="6"/>
      <c r="M77" s="44">
        <v>68</v>
      </c>
      <c r="N77" s="40">
        <v>21.6</v>
      </c>
      <c r="O77" s="41">
        <v>9.7189090909090901</v>
      </c>
      <c r="P77" s="8"/>
    </row>
    <row r="78" spans="9:16" ht="15.95" customHeight="1" x14ac:dyDescent="0.25">
      <c r="I78" s="5"/>
      <c r="J78" s="6"/>
      <c r="K78" s="6"/>
      <c r="L78" s="6"/>
      <c r="M78" s="44">
        <v>69</v>
      </c>
      <c r="N78" s="40">
        <v>21.92</v>
      </c>
      <c r="O78" s="41">
        <v>9.7517818181818186</v>
      </c>
      <c r="P78" s="8"/>
    </row>
    <row r="79" spans="9:16" ht="15.95" customHeight="1" x14ac:dyDescent="0.25">
      <c r="I79" s="5"/>
      <c r="J79" s="6"/>
      <c r="K79" s="6"/>
      <c r="L79" s="6"/>
      <c r="M79" s="44">
        <v>70</v>
      </c>
      <c r="N79" s="40">
        <v>22.240000000000002</v>
      </c>
      <c r="O79" s="41">
        <v>9.879760000000001</v>
      </c>
      <c r="P79" s="8"/>
    </row>
    <row r="80" spans="9:16" ht="15.95" customHeight="1" x14ac:dyDescent="0.25">
      <c r="I80" s="5"/>
      <c r="J80" s="6"/>
      <c r="K80" s="6"/>
      <c r="L80" s="6"/>
      <c r="M80" s="44">
        <v>71</v>
      </c>
      <c r="N80" s="40">
        <v>22.56</v>
      </c>
      <c r="O80" s="41">
        <v>10.039439999999999</v>
      </c>
      <c r="P80" s="8"/>
    </row>
    <row r="81" spans="9:16" ht="15.95" customHeight="1" x14ac:dyDescent="0.25">
      <c r="I81" s="5"/>
      <c r="J81" s="6"/>
      <c r="K81" s="6"/>
      <c r="L81" s="6"/>
      <c r="M81" s="44">
        <v>72</v>
      </c>
      <c r="N81" s="40">
        <v>22.88</v>
      </c>
      <c r="O81" s="41">
        <v>10.199119999999999</v>
      </c>
      <c r="P81" s="8"/>
    </row>
    <row r="82" spans="9:16" ht="15.95" customHeight="1" x14ac:dyDescent="0.25">
      <c r="I82" s="5"/>
      <c r="J82" s="6"/>
      <c r="K82" s="6"/>
      <c r="L82" s="6"/>
      <c r="M82" s="44">
        <v>73</v>
      </c>
      <c r="N82" s="40">
        <v>23.2</v>
      </c>
      <c r="O82" s="41">
        <v>10.358799999999999</v>
      </c>
      <c r="P82" s="8"/>
    </row>
    <row r="83" spans="9:16" ht="15.95" customHeight="1" x14ac:dyDescent="0.25">
      <c r="I83" s="5"/>
      <c r="J83" s="6"/>
      <c r="K83" s="6"/>
      <c r="L83" s="6"/>
      <c r="M83" s="44">
        <v>74</v>
      </c>
      <c r="N83" s="40">
        <v>23.52</v>
      </c>
      <c r="O83" s="41">
        <v>10.51848</v>
      </c>
      <c r="P83" s="8"/>
    </row>
    <row r="84" spans="9:16" ht="15.95" customHeight="1" x14ac:dyDescent="0.25">
      <c r="I84" s="5"/>
      <c r="J84" s="6"/>
      <c r="K84" s="6"/>
      <c r="L84" s="6"/>
      <c r="M84" s="44">
        <v>75</v>
      </c>
      <c r="N84" s="40">
        <v>23.84</v>
      </c>
      <c r="O84" s="41">
        <v>10.67816</v>
      </c>
      <c r="P84" s="8"/>
    </row>
    <row r="85" spans="9:16" ht="15.95" customHeight="1" x14ac:dyDescent="0.25">
      <c r="I85" s="5"/>
      <c r="J85" s="6"/>
      <c r="K85" s="6"/>
      <c r="L85" s="6"/>
      <c r="M85" s="44">
        <v>76</v>
      </c>
      <c r="N85" s="40">
        <v>24.16</v>
      </c>
      <c r="O85" s="41">
        <v>10.83784</v>
      </c>
      <c r="P85" s="8"/>
    </row>
    <row r="86" spans="9:16" ht="15.95" customHeight="1" x14ac:dyDescent="0.25">
      <c r="I86" s="5"/>
      <c r="J86" s="6"/>
      <c r="K86" s="6"/>
      <c r="L86" s="6"/>
      <c r="M86" s="44">
        <v>77</v>
      </c>
      <c r="N86" s="40">
        <v>24.48</v>
      </c>
      <c r="O86" s="41">
        <v>10.99752</v>
      </c>
      <c r="P86" s="8"/>
    </row>
    <row r="87" spans="9:16" ht="15.95" customHeight="1" x14ac:dyDescent="0.25">
      <c r="I87" s="5"/>
      <c r="J87" s="6"/>
      <c r="K87" s="6"/>
      <c r="L87" s="6"/>
      <c r="M87" s="44">
        <v>78</v>
      </c>
      <c r="N87" s="40">
        <v>24.8</v>
      </c>
      <c r="O87" s="41">
        <v>11.1572</v>
      </c>
      <c r="P87" s="8"/>
    </row>
    <row r="88" spans="9:16" ht="15.95" customHeight="1" x14ac:dyDescent="0.25">
      <c r="I88" s="5"/>
      <c r="J88" s="6"/>
      <c r="K88" s="6"/>
      <c r="L88" s="6"/>
      <c r="M88" s="44">
        <v>79</v>
      </c>
      <c r="N88" s="40">
        <v>25.12</v>
      </c>
      <c r="O88" s="41">
        <v>11.316880000000001</v>
      </c>
      <c r="P88" s="8"/>
    </row>
    <row r="89" spans="9:16" ht="15.95" customHeight="1" x14ac:dyDescent="0.25">
      <c r="I89" s="5"/>
      <c r="J89" s="6"/>
      <c r="K89" s="6"/>
      <c r="L89" s="6"/>
      <c r="M89" s="44">
        <v>80</v>
      </c>
      <c r="N89" s="40">
        <v>25.44</v>
      </c>
      <c r="O89" s="41">
        <v>11.476560000000001</v>
      </c>
      <c r="P89" s="8"/>
    </row>
    <row r="90" spans="9:16" ht="15.95" customHeight="1" x14ac:dyDescent="0.25">
      <c r="I90" s="5"/>
      <c r="J90" s="6"/>
      <c r="K90" s="6"/>
      <c r="L90" s="6"/>
      <c r="M90" s="44">
        <v>81</v>
      </c>
      <c r="N90" s="40">
        <v>25.76</v>
      </c>
      <c r="O90" s="41">
        <v>11.636240000000001</v>
      </c>
      <c r="P90" s="8"/>
    </row>
    <row r="91" spans="9:16" ht="15.95" customHeight="1" x14ac:dyDescent="0.25">
      <c r="I91" s="5"/>
      <c r="J91" s="6"/>
      <c r="K91" s="6"/>
      <c r="L91" s="6"/>
      <c r="M91" s="44">
        <v>82</v>
      </c>
      <c r="N91" s="40">
        <v>26.080000000000002</v>
      </c>
      <c r="O91" s="41">
        <v>11.795920000000001</v>
      </c>
      <c r="P91" s="8"/>
    </row>
    <row r="92" spans="9:16" ht="15.95" customHeight="1" x14ac:dyDescent="0.25">
      <c r="I92" s="5"/>
      <c r="J92" s="6"/>
      <c r="K92" s="6"/>
      <c r="L92" s="6"/>
      <c r="M92" s="44">
        <v>83</v>
      </c>
      <c r="N92" s="40">
        <v>26.400000000000002</v>
      </c>
      <c r="O92" s="41">
        <v>11.9556</v>
      </c>
      <c r="P92" s="8"/>
    </row>
    <row r="93" spans="9:16" ht="15.95" customHeight="1" x14ac:dyDescent="0.25">
      <c r="I93" s="5"/>
      <c r="J93" s="6"/>
      <c r="K93" s="6"/>
      <c r="L93" s="6"/>
      <c r="M93" s="44">
        <v>84</v>
      </c>
      <c r="N93" s="40">
        <v>26.72</v>
      </c>
      <c r="O93" s="41">
        <v>12.115279999999998</v>
      </c>
      <c r="P93" s="8"/>
    </row>
    <row r="94" spans="9:16" ht="15.95" customHeight="1" x14ac:dyDescent="0.25">
      <c r="I94" s="5"/>
      <c r="J94" s="6"/>
      <c r="K94" s="6"/>
      <c r="L94" s="6"/>
      <c r="M94" s="44">
        <v>85</v>
      </c>
      <c r="N94" s="40">
        <v>27.04</v>
      </c>
      <c r="O94" s="41">
        <v>12.27496</v>
      </c>
      <c r="P94" s="8"/>
    </row>
    <row r="95" spans="9:16" ht="15.95" customHeight="1" x14ac:dyDescent="0.25">
      <c r="I95" s="5"/>
      <c r="J95" s="6"/>
      <c r="K95" s="6"/>
      <c r="L95" s="6"/>
      <c r="M95" s="44">
        <v>86</v>
      </c>
      <c r="N95" s="40">
        <v>27.36</v>
      </c>
      <c r="O95" s="41">
        <v>12.43464</v>
      </c>
      <c r="P95" s="8"/>
    </row>
    <row r="96" spans="9:16" ht="15.95" customHeight="1" x14ac:dyDescent="0.25">
      <c r="I96" s="5"/>
      <c r="J96" s="6"/>
      <c r="K96" s="6"/>
      <c r="L96" s="6"/>
      <c r="M96" s="44">
        <v>87</v>
      </c>
      <c r="N96" s="40">
        <v>27.68</v>
      </c>
      <c r="O96" s="41">
        <v>12.59432</v>
      </c>
      <c r="P96" s="8"/>
    </row>
    <row r="97" spans="9:16" ht="15.95" customHeight="1" x14ac:dyDescent="0.25">
      <c r="I97" s="5"/>
      <c r="J97" s="6"/>
      <c r="K97" s="6"/>
      <c r="L97" s="6"/>
      <c r="M97" s="44">
        <v>88</v>
      </c>
      <c r="N97" s="40">
        <v>28</v>
      </c>
      <c r="O97" s="41">
        <v>12.754</v>
      </c>
      <c r="P97" s="8"/>
    </row>
    <row r="98" spans="9:16" ht="15.95" customHeight="1" x14ac:dyDescent="0.25">
      <c r="I98" s="5"/>
      <c r="J98" s="6"/>
      <c r="K98" s="6"/>
      <c r="L98" s="6"/>
      <c r="M98" s="44">
        <v>89</v>
      </c>
      <c r="N98" s="40">
        <v>28.32</v>
      </c>
      <c r="O98" s="41">
        <v>12.913679999999999</v>
      </c>
      <c r="P98" s="8"/>
    </row>
    <row r="99" spans="9:16" ht="15.95" customHeight="1" x14ac:dyDescent="0.25">
      <c r="I99" s="5"/>
      <c r="J99" s="6"/>
      <c r="K99" s="6"/>
      <c r="L99" s="6"/>
      <c r="M99" s="44">
        <v>90</v>
      </c>
      <c r="N99" s="40">
        <v>28.64</v>
      </c>
      <c r="O99" s="41">
        <v>13.073360000000001</v>
      </c>
      <c r="P99" s="8"/>
    </row>
    <row r="100" spans="9:16" ht="15.95" customHeight="1" x14ac:dyDescent="0.25">
      <c r="I100" s="5"/>
      <c r="J100" s="6"/>
      <c r="K100" s="6"/>
      <c r="L100" s="6"/>
      <c r="M100" s="44">
        <v>91</v>
      </c>
      <c r="N100" s="40">
        <v>28.96</v>
      </c>
      <c r="O100" s="41">
        <v>13.233040000000001</v>
      </c>
      <c r="P100" s="8"/>
    </row>
    <row r="101" spans="9:16" ht="15.95" customHeight="1" x14ac:dyDescent="0.25">
      <c r="I101" s="5"/>
      <c r="J101" s="6"/>
      <c r="K101" s="6"/>
      <c r="L101" s="6"/>
      <c r="M101" s="44">
        <v>92</v>
      </c>
      <c r="N101" s="40">
        <v>29.28</v>
      </c>
      <c r="O101" s="41">
        <v>13.392720000000001</v>
      </c>
      <c r="P101" s="8"/>
    </row>
    <row r="102" spans="9:16" ht="15.95" customHeight="1" x14ac:dyDescent="0.25">
      <c r="I102" s="5"/>
      <c r="J102" s="6"/>
      <c r="K102" s="6"/>
      <c r="L102" s="6"/>
      <c r="M102" s="44">
        <v>93</v>
      </c>
      <c r="N102" s="40">
        <v>29.6</v>
      </c>
      <c r="O102" s="41">
        <v>13.5524</v>
      </c>
      <c r="P102" s="8"/>
    </row>
    <row r="103" spans="9:16" ht="15.95" customHeight="1" x14ac:dyDescent="0.25">
      <c r="I103" s="5"/>
      <c r="J103" s="6"/>
      <c r="K103" s="6"/>
      <c r="L103" s="6"/>
      <c r="M103" s="44">
        <v>94</v>
      </c>
      <c r="N103" s="40">
        <v>29.92</v>
      </c>
      <c r="O103" s="41">
        <v>13.71208</v>
      </c>
      <c r="P103" s="8"/>
    </row>
    <row r="104" spans="9:16" ht="15.95" customHeight="1" x14ac:dyDescent="0.25">
      <c r="I104" s="5"/>
      <c r="J104" s="6"/>
      <c r="K104" s="6"/>
      <c r="L104" s="6"/>
      <c r="M104" s="44">
        <v>95</v>
      </c>
      <c r="N104" s="40">
        <v>30.240000000000002</v>
      </c>
      <c r="O104" s="41">
        <v>13.871760000000002</v>
      </c>
      <c r="P104" s="8"/>
    </row>
    <row r="105" spans="9:16" ht="15.95" customHeight="1" x14ac:dyDescent="0.25">
      <c r="I105" s="5"/>
      <c r="J105" s="6"/>
      <c r="K105" s="6"/>
      <c r="L105" s="6"/>
      <c r="M105" s="44">
        <v>96</v>
      </c>
      <c r="N105" s="40">
        <v>30.560000000000002</v>
      </c>
      <c r="O105" s="41">
        <v>14.03144</v>
      </c>
      <c r="P105" s="8"/>
    </row>
    <row r="106" spans="9:16" ht="15.95" customHeight="1" x14ac:dyDescent="0.25">
      <c r="I106" s="5"/>
      <c r="J106" s="6"/>
      <c r="K106" s="6"/>
      <c r="L106" s="6"/>
      <c r="M106" s="44">
        <v>97</v>
      </c>
      <c r="N106" s="40">
        <v>30.88</v>
      </c>
      <c r="O106" s="41">
        <v>14.191119999999998</v>
      </c>
      <c r="P106" s="8"/>
    </row>
    <row r="107" spans="9:16" ht="15.95" customHeight="1" x14ac:dyDescent="0.25">
      <c r="I107" s="5"/>
      <c r="J107" s="6"/>
      <c r="K107" s="6"/>
      <c r="L107" s="6"/>
      <c r="M107" s="44">
        <v>98</v>
      </c>
      <c r="N107" s="40">
        <v>31.2</v>
      </c>
      <c r="O107" s="41">
        <v>14.3508</v>
      </c>
      <c r="P107" s="8"/>
    </row>
    <row r="108" spans="9:16" ht="15.95" customHeight="1" x14ac:dyDescent="0.25">
      <c r="I108" s="5"/>
      <c r="J108" s="6"/>
      <c r="K108" s="6"/>
      <c r="L108" s="6"/>
      <c r="M108" s="44">
        <v>99</v>
      </c>
      <c r="N108" s="40">
        <v>31.52</v>
      </c>
      <c r="O108" s="41">
        <v>14.510479999999999</v>
      </c>
      <c r="P108" s="8"/>
    </row>
    <row r="109" spans="9:16" ht="15.95" customHeight="1" x14ac:dyDescent="0.25">
      <c r="I109" s="5"/>
      <c r="J109" s="6"/>
      <c r="K109" s="6"/>
      <c r="L109" s="6"/>
      <c r="M109" s="44">
        <v>100</v>
      </c>
      <c r="N109" s="40">
        <v>31.84</v>
      </c>
      <c r="O109" s="41">
        <v>14.670159999999999</v>
      </c>
      <c r="P109" s="8"/>
    </row>
    <row r="110" spans="9:16" ht="15.95" customHeight="1" x14ac:dyDescent="0.25">
      <c r="I110" s="12"/>
      <c r="J110" s="13"/>
      <c r="K110" s="13"/>
      <c r="L110" s="13"/>
      <c r="M110" s="13"/>
      <c r="N110" s="13"/>
      <c r="O110" s="13"/>
      <c r="P110" s="14"/>
    </row>
  </sheetData>
  <mergeCells count="2">
    <mergeCell ref="C9:G9"/>
    <mergeCell ref="C34:G35"/>
  </mergeCells>
  <dataValidations count="2">
    <dataValidation type="decimal" operator="greaterThanOrEqual" allowBlank="1" showInputMessage="1" showErrorMessage="1" sqref="E22 E15" xr:uid="{4064E99D-0518-4564-BE12-8BE4B84413A3}">
      <formula1>0</formula1>
    </dataValidation>
    <dataValidation type="decimal" operator="greaterThan" allowBlank="1" showInputMessage="1" showErrorMessage="1" sqref="E13 E17 E19 E21 E23:E25" xr:uid="{70B61632-B974-4F7D-8A34-14125A7431AE}">
      <formula1>0</formula1>
    </dataValidation>
  </dataValidation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Option Button 6">
              <controlPr defaultSize="0" autoFill="0" autoLine="0" autoPict="0" macro="[0]!BarrierTypeSelection">
                <anchor moveWithCells="1">
                  <from>
                    <xdr:col>2</xdr:col>
                    <xdr:colOff>381000</xdr:colOff>
                    <xdr:row>6</xdr:row>
                    <xdr:rowOff>19050</xdr:rowOff>
                  </from>
                  <to>
                    <xdr:col>2</xdr:col>
                    <xdr:colOff>742950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Option Button 7">
              <controlPr defaultSize="0" autoFill="0" autoLine="0" autoPict="0" macro="[0]!BarrierTypeSelection">
                <anchor moveWithCells="1">
                  <from>
                    <xdr:col>4</xdr:col>
                    <xdr:colOff>342900</xdr:colOff>
                    <xdr:row>6</xdr:row>
                    <xdr:rowOff>28575</xdr:rowOff>
                  </from>
                  <to>
                    <xdr:col>4</xdr:col>
                    <xdr:colOff>647700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Option Button 8">
              <controlPr defaultSize="0" autoFill="0" autoLine="0" autoPict="0" macro="[0]!BarrierTypeSelection">
                <anchor moveWithCells="1">
                  <from>
                    <xdr:col>6</xdr:col>
                    <xdr:colOff>428625</xdr:colOff>
                    <xdr:row>6</xdr:row>
                    <xdr:rowOff>28575</xdr:rowOff>
                  </from>
                  <to>
                    <xdr:col>6</xdr:col>
                    <xdr:colOff>762000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BasicBarrierCalculations">
                <anchor moveWithCells="1" sizeWithCells="1">
                  <from>
                    <xdr:col>9</xdr:col>
                    <xdr:colOff>419100</xdr:colOff>
                    <xdr:row>5</xdr:row>
                    <xdr:rowOff>133350</xdr:rowOff>
                  </from>
                  <to>
                    <xdr:col>10</xdr:col>
                    <xdr:colOff>228600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ClearSectionOutputs">
                <anchor moveWithCells="1" sizeWithCells="1">
                  <from>
                    <xdr:col>14</xdr:col>
                    <xdr:colOff>504825</xdr:colOff>
                    <xdr:row>5</xdr:row>
                    <xdr:rowOff>0</xdr:rowOff>
                  </from>
                  <to>
                    <xdr:col>15</xdr:col>
                    <xdr:colOff>209550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SectionChart">
                <anchor moveWithCells="1" sizeWithCells="1">
                  <from>
                    <xdr:col>11</xdr:col>
                    <xdr:colOff>295275</xdr:colOff>
                    <xdr:row>31</xdr:row>
                    <xdr:rowOff>114300</xdr:rowOff>
                  </from>
                  <to>
                    <xdr:col>12</xdr:col>
                    <xdr:colOff>38100</xdr:colOff>
                    <xdr:row>34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109E-759E-4374-9B12-0547819FD32F}">
  <sheetPr codeName="Sheet2"/>
  <dimension ref="C3:AD114"/>
  <sheetViews>
    <sheetView zoomScale="74" zoomScaleNormal="118" workbookViewId="0">
      <selection activeCell="S2" sqref="S2"/>
    </sheetView>
  </sheetViews>
  <sheetFormatPr defaultRowHeight="15" x14ac:dyDescent="0.25"/>
  <cols>
    <col min="1" max="2" width="9.140625" style="1"/>
    <col min="3" max="3" width="16.28515625" style="1" customWidth="1"/>
    <col min="4" max="4" width="9.7109375" style="1" customWidth="1"/>
    <col min="5" max="5" width="9.140625" style="1"/>
    <col min="6" max="6" width="9.7109375" style="1" customWidth="1"/>
    <col min="7" max="7" width="9.140625" style="1"/>
    <col min="8" max="8" width="9.7109375" style="1" customWidth="1"/>
    <col min="9" max="9" width="9.140625" style="1"/>
    <col min="10" max="10" width="9.7109375" style="1" customWidth="1"/>
    <col min="11" max="12" width="14.28515625" style="1" customWidth="1"/>
    <col min="13" max="13" width="9.140625" style="1"/>
    <col min="14" max="14" width="10.7109375" style="1" customWidth="1"/>
    <col min="15" max="21" width="16.7109375" style="1" customWidth="1"/>
    <col min="22" max="29" width="13.7109375" style="1" customWidth="1"/>
    <col min="30" max="30" width="3.7109375" style="1" customWidth="1"/>
    <col min="31" max="16384" width="9.140625" style="1"/>
  </cols>
  <sheetData>
    <row r="3" spans="3:30" ht="15.75" thickBot="1" x14ac:dyDescent="0.3"/>
    <row r="4" spans="3:30" ht="21" x14ac:dyDescent="0.35">
      <c r="C4" s="46"/>
      <c r="D4" s="47" t="s">
        <v>18</v>
      </c>
      <c r="E4" s="48"/>
      <c r="F4" s="48"/>
      <c r="G4" s="48"/>
      <c r="H4" s="48"/>
      <c r="I4" s="48"/>
      <c r="J4" s="48"/>
      <c r="K4" s="49" t="s">
        <v>32</v>
      </c>
      <c r="L4" s="50"/>
      <c r="N4" s="96"/>
      <c r="O4" s="97"/>
      <c r="P4" s="97"/>
      <c r="Q4" s="97"/>
      <c r="R4" s="97"/>
      <c r="S4" s="97"/>
      <c r="T4" s="97"/>
      <c r="U4" s="97"/>
      <c r="V4" s="97"/>
      <c r="W4" s="97"/>
      <c r="X4" s="97"/>
      <c r="Y4" s="97"/>
      <c r="Z4" s="97"/>
      <c r="AA4" s="97"/>
      <c r="AB4" s="97"/>
      <c r="AC4" s="97"/>
      <c r="AD4" s="98"/>
    </row>
    <row r="5" spans="3:30" ht="21" x14ac:dyDescent="0.35">
      <c r="C5" s="51"/>
      <c r="D5" s="20"/>
      <c r="E5" s="20"/>
      <c r="F5" s="52" t="s">
        <v>33</v>
      </c>
      <c r="G5" s="20"/>
      <c r="H5" s="20"/>
      <c r="I5" s="20"/>
      <c r="J5" s="30">
        <v>7</v>
      </c>
      <c r="K5" s="53"/>
      <c r="L5" s="54"/>
      <c r="N5" s="95"/>
      <c r="O5" s="118" t="s">
        <v>91</v>
      </c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0"/>
    </row>
    <row r="6" spans="3:30" ht="16.5" x14ac:dyDescent="0.25">
      <c r="C6" s="88"/>
      <c r="D6" s="319"/>
      <c r="E6" s="20"/>
      <c r="F6" s="20"/>
      <c r="G6" s="20"/>
      <c r="H6" s="20"/>
      <c r="I6" s="20"/>
      <c r="J6" s="20"/>
      <c r="K6" s="20"/>
      <c r="L6" s="54"/>
      <c r="N6" s="95"/>
      <c r="O6" s="94"/>
      <c r="P6" s="94"/>
      <c r="Q6" s="94"/>
      <c r="R6" s="94"/>
      <c r="S6" s="94"/>
      <c r="T6" s="94"/>
      <c r="U6" s="94"/>
      <c r="V6" s="94"/>
      <c r="W6" s="94"/>
      <c r="X6" s="94"/>
      <c r="Y6" s="94"/>
      <c r="Z6" s="94"/>
      <c r="AA6" s="94"/>
      <c r="AB6" s="94"/>
      <c r="AC6" s="94"/>
      <c r="AD6" s="90"/>
    </row>
    <row r="7" spans="3:30" ht="17.100000000000001" customHeight="1" x14ac:dyDescent="0.25">
      <c r="C7" s="66" t="s">
        <v>29</v>
      </c>
      <c r="D7" s="55" t="s">
        <v>28</v>
      </c>
      <c r="E7" s="56"/>
      <c r="F7" s="55" t="s">
        <v>37</v>
      </c>
      <c r="G7" s="56"/>
      <c r="H7" s="55" t="s">
        <v>30</v>
      </c>
      <c r="I7" s="57" t="s">
        <v>32</v>
      </c>
      <c r="J7" s="55" t="s">
        <v>31</v>
      </c>
      <c r="K7" s="58" t="s">
        <v>40</v>
      </c>
      <c r="L7" s="59" t="s">
        <v>34</v>
      </c>
      <c r="N7" s="99" t="s">
        <v>59</v>
      </c>
      <c r="O7" s="100" t="s">
        <v>62</v>
      </c>
      <c r="P7" s="100" t="s">
        <v>63</v>
      </c>
      <c r="Q7" s="100" t="s">
        <v>64</v>
      </c>
      <c r="R7" s="100" t="s">
        <v>60</v>
      </c>
      <c r="S7" s="100" t="s">
        <v>61</v>
      </c>
      <c r="T7" s="91" t="s">
        <v>65</v>
      </c>
      <c r="U7" s="115" t="s">
        <v>66</v>
      </c>
      <c r="V7" s="100" t="s">
        <v>67</v>
      </c>
      <c r="W7" s="100" t="s">
        <v>68</v>
      </c>
      <c r="X7" s="100" t="s">
        <v>69</v>
      </c>
      <c r="Y7" s="100" t="s">
        <v>70</v>
      </c>
      <c r="Z7" s="100" t="s">
        <v>71</v>
      </c>
      <c r="AA7" s="100" t="s">
        <v>72</v>
      </c>
      <c r="AB7" s="100" t="s">
        <v>73</v>
      </c>
      <c r="AC7" s="100" t="s">
        <v>74</v>
      </c>
      <c r="AD7" s="90"/>
    </row>
    <row r="8" spans="3:30" x14ac:dyDescent="0.25">
      <c r="C8" s="67" t="s">
        <v>19</v>
      </c>
      <c r="D8" s="83">
        <v>1.77</v>
      </c>
      <c r="E8" s="61" t="s">
        <v>5</v>
      </c>
      <c r="F8" s="83">
        <v>28</v>
      </c>
      <c r="G8" s="61" t="s">
        <v>5</v>
      </c>
      <c r="H8" s="83">
        <v>4</v>
      </c>
      <c r="I8" s="20"/>
      <c r="J8" s="83">
        <v>1</v>
      </c>
      <c r="K8" s="25">
        <v>0.2</v>
      </c>
      <c r="L8" s="62">
        <v>0.5</v>
      </c>
      <c r="N8" s="92">
        <v>1</v>
      </c>
      <c r="O8" s="105">
        <v>12.754</v>
      </c>
      <c r="P8" s="104">
        <v>0</v>
      </c>
      <c r="Q8" s="104">
        <v>1</v>
      </c>
      <c r="R8" s="105">
        <v>1.77</v>
      </c>
      <c r="S8" s="105">
        <v>10.984</v>
      </c>
      <c r="T8" s="106">
        <v>0</v>
      </c>
      <c r="U8" s="114">
        <v>1</v>
      </c>
      <c r="V8" s="105">
        <v>0.74</v>
      </c>
      <c r="W8" s="105">
        <v>0.64</v>
      </c>
      <c r="X8" s="105">
        <v>2.7202000000000002</v>
      </c>
      <c r="Y8" s="105">
        <v>2.0648</v>
      </c>
      <c r="Z8" s="105">
        <v>3.3636363636363638E-2</v>
      </c>
      <c r="AA8" s="105">
        <v>2.9090909090909091E-2</v>
      </c>
      <c r="AB8" s="105">
        <v>3.675945945945946</v>
      </c>
      <c r="AC8" s="105">
        <v>3.2262499999999998</v>
      </c>
      <c r="AD8" s="90"/>
    </row>
    <row r="9" spans="3:30" x14ac:dyDescent="0.25">
      <c r="C9" s="67" t="s">
        <v>20</v>
      </c>
      <c r="D9" s="83">
        <v>4.8</v>
      </c>
      <c r="E9" s="61" t="s">
        <v>5</v>
      </c>
      <c r="F9" s="83">
        <v>26</v>
      </c>
      <c r="G9" s="61" t="s">
        <v>5</v>
      </c>
      <c r="H9" s="83">
        <v>4</v>
      </c>
      <c r="I9" s="20"/>
      <c r="J9" s="83">
        <v>1</v>
      </c>
      <c r="K9" s="25">
        <v>0.2</v>
      </c>
      <c r="L9" s="62">
        <v>0.5</v>
      </c>
      <c r="N9" s="92">
        <v>2</v>
      </c>
      <c r="O9" s="105">
        <v>11.756</v>
      </c>
      <c r="P9" s="104">
        <v>0</v>
      </c>
      <c r="Q9" s="104">
        <v>1</v>
      </c>
      <c r="R9" s="105">
        <v>4.8</v>
      </c>
      <c r="S9" s="105">
        <v>6.9560000000000004</v>
      </c>
      <c r="T9" s="106">
        <v>0</v>
      </c>
      <c r="U9" s="114">
        <v>2</v>
      </c>
      <c r="V9" s="105">
        <v>0.5</v>
      </c>
      <c r="W9" s="105">
        <v>0.2</v>
      </c>
      <c r="X9" s="105">
        <v>1.6140000000000001</v>
      </c>
      <c r="Y9" s="105">
        <v>0.47199999999999998</v>
      </c>
      <c r="Z9" s="105">
        <v>0.05</v>
      </c>
      <c r="AA9" s="105">
        <v>0.02</v>
      </c>
      <c r="AB9" s="105">
        <v>3.2280000000000002</v>
      </c>
      <c r="AC9" s="105">
        <v>2.36</v>
      </c>
      <c r="AD9" s="90"/>
    </row>
    <row r="10" spans="3:30" ht="15.75" thickBot="1" x14ac:dyDescent="0.3">
      <c r="C10" s="67" t="s">
        <v>21</v>
      </c>
      <c r="D10" s="83">
        <v>3</v>
      </c>
      <c r="E10" s="61" t="s">
        <v>5</v>
      </c>
      <c r="F10" s="83">
        <v>22</v>
      </c>
      <c r="G10" s="61" t="s">
        <v>5</v>
      </c>
      <c r="H10" s="83">
        <v>4</v>
      </c>
      <c r="I10" s="20"/>
      <c r="J10" s="83">
        <v>1</v>
      </c>
      <c r="K10" s="25">
        <v>0.2</v>
      </c>
      <c r="L10" s="62">
        <v>0.5</v>
      </c>
      <c r="N10" s="92">
        <v>3</v>
      </c>
      <c r="O10" s="105">
        <v>9.76</v>
      </c>
      <c r="P10" s="104">
        <v>0</v>
      </c>
      <c r="Q10" s="104">
        <v>1</v>
      </c>
      <c r="R10" s="105">
        <v>3</v>
      </c>
      <c r="S10" s="105">
        <v>6.76</v>
      </c>
      <c r="T10" s="106">
        <v>0</v>
      </c>
      <c r="U10" s="114">
        <v>3</v>
      </c>
      <c r="V10" s="105"/>
      <c r="W10" s="105"/>
      <c r="X10" s="105"/>
      <c r="Y10" s="105"/>
      <c r="Z10" s="105"/>
      <c r="AA10" s="105"/>
      <c r="AB10" s="105"/>
      <c r="AC10" s="105"/>
      <c r="AD10" s="90"/>
    </row>
    <row r="11" spans="3:30" x14ac:dyDescent="0.25">
      <c r="C11" s="67" t="s">
        <v>22</v>
      </c>
      <c r="D11" s="83">
        <v>3</v>
      </c>
      <c r="E11" s="61" t="s">
        <v>5</v>
      </c>
      <c r="F11" s="83">
        <v>11</v>
      </c>
      <c r="G11" s="61" t="s">
        <v>5</v>
      </c>
      <c r="H11" s="83">
        <v>4</v>
      </c>
      <c r="I11" s="20"/>
      <c r="J11" s="83">
        <v>1</v>
      </c>
      <c r="K11" s="25">
        <v>0.2</v>
      </c>
      <c r="L11" s="62">
        <v>0.5</v>
      </c>
      <c r="N11" s="92">
        <v>4</v>
      </c>
      <c r="O11" s="105">
        <v>8.629999999999999</v>
      </c>
      <c r="P11" s="104">
        <v>0</v>
      </c>
      <c r="Q11" s="104">
        <v>1</v>
      </c>
      <c r="R11" s="105">
        <v>3</v>
      </c>
      <c r="S11" s="105">
        <v>5.629999999999999</v>
      </c>
      <c r="T11" s="106">
        <v>0</v>
      </c>
      <c r="U11" s="205"/>
      <c r="V11" s="204"/>
      <c r="W11" s="204"/>
      <c r="X11" s="204"/>
      <c r="Y11" s="204"/>
      <c r="Z11" s="204"/>
      <c r="AA11" s="204"/>
      <c r="AB11" s="204"/>
      <c r="AC11" s="204"/>
      <c r="AD11" s="90"/>
    </row>
    <row r="12" spans="3:30" x14ac:dyDescent="0.25">
      <c r="C12" s="67" t="s">
        <v>23</v>
      </c>
      <c r="D12" s="83">
        <v>3.62</v>
      </c>
      <c r="E12" s="61" t="s">
        <v>5</v>
      </c>
      <c r="F12" s="83">
        <v>2.5</v>
      </c>
      <c r="G12" s="61" t="s">
        <v>5</v>
      </c>
      <c r="H12" s="83">
        <v>6</v>
      </c>
      <c r="I12" s="20"/>
      <c r="J12" s="83">
        <v>2</v>
      </c>
      <c r="K12" s="25">
        <v>0.44</v>
      </c>
      <c r="L12" s="62">
        <v>0.75</v>
      </c>
      <c r="N12" s="92">
        <v>5</v>
      </c>
      <c r="O12" s="105">
        <v>7.7568181818181818</v>
      </c>
      <c r="P12" s="104">
        <v>0</v>
      </c>
      <c r="Q12" s="104">
        <v>2</v>
      </c>
      <c r="R12" s="105">
        <v>4.1368181818181817</v>
      </c>
      <c r="S12" s="105">
        <v>3.62</v>
      </c>
      <c r="T12" s="106">
        <v>1</v>
      </c>
      <c r="U12" s="94"/>
      <c r="V12" s="94"/>
      <c r="W12" s="94"/>
      <c r="X12" s="95"/>
      <c r="Y12" s="94"/>
      <c r="Z12" s="94"/>
      <c r="AA12" s="94"/>
      <c r="AB12" s="94"/>
      <c r="AC12" s="94"/>
      <c r="AD12" s="90"/>
    </row>
    <row r="13" spans="3:30" x14ac:dyDescent="0.25">
      <c r="C13" s="67" t="s">
        <v>24</v>
      </c>
      <c r="D13" s="83">
        <v>2.36</v>
      </c>
      <c r="E13" s="61" t="s">
        <v>5</v>
      </c>
      <c r="F13" s="83">
        <v>15</v>
      </c>
      <c r="G13" s="61" t="s">
        <v>5</v>
      </c>
      <c r="H13" s="83">
        <v>4</v>
      </c>
      <c r="I13" s="20"/>
      <c r="J13" s="83">
        <v>2</v>
      </c>
      <c r="K13" s="25">
        <v>0.2</v>
      </c>
      <c r="L13" s="62">
        <v>0.5</v>
      </c>
      <c r="N13" s="92">
        <v>6</v>
      </c>
      <c r="O13" s="105">
        <v>9.040909090909091</v>
      </c>
      <c r="P13" s="104">
        <v>0</v>
      </c>
      <c r="Q13" s="104">
        <v>2</v>
      </c>
      <c r="R13" s="105">
        <v>6.6809090909090916</v>
      </c>
      <c r="S13" s="105">
        <v>2.36</v>
      </c>
      <c r="T13" s="106">
        <v>0</v>
      </c>
      <c r="U13" s="94"/>
      <c r="V13" s="94"/>
      <c r="W13" s="94"/>
      <c r="X13" s="95"/>
      <c r="Y13" s="94"/>
      <c r="Z13" s="94"/>
      <c r="AA13" s="94"/>
      <c r="AB13" s="94"/>
      <c r="AC13" s="94"/>
      <c r="AD13" s="90"/>
    </row>
    <row r="14" spans="3:30" x14ac:dyDescent="0.25">
      <c r="C14" s="67" t="s">
        <v>25</v>
      </c>
      <c r="D14" s="83">
        <v>2.36</v>
      </c>
      <c r="E14" s="61" t="s">
        <v>5</v>
      </c>
      <c r="F14" s="83">
        <v>26</v>
      </c>
      <c r="G14" s="61" t="s">
        <v>5</v>
      </c>
      <c r="H14" s="83">
        <v>4</v>
      </c>
      <c r="I14" s="20"/>
      <c r="J14" s="83">
        <v>2</v>
      </c>
      <c r="K14" s="25">
        <v>0.2</v>
      </c>
      <c r="L14" s="62">
        <v>0.5</v>
      </c>
      <c r="N14" s="92">
        <v>7</v>
      </c>
      <c r="O14" s="105">
        <v>11.756</v>
      </c>
      <c r="P14" s="104">
        <v>0</v>
      </c>
      <c r="Q14" s="104">
        <v>2</v>
      </c>
      <c r="R14" s="105">
        <v>9.3960000000000008</v>
      </c>
      <c r="S14" s="105">
        <v>2.36</v>
      </c>
      <c r="T14" s="106">
        <v>0</v>
      </c>
      <c r="U14" s="94"/>
      <c r="V14" s="94"/>
      <c r="W14" s="94"/>
      <c r="X14" s="116" t="s">
        <v>76</v>
      </c>
      <c r="Y14" s="117" t="s">
        <v>75</v>
      </c>
      <c r="Z14" s="100" t="s">
        <v>77</v>
      </c>
      <c r="AA14" s="100" t="s">
        <v>78</v>
      </c>
      <c r="AB14" s="100" t="s">
        <v>79</v>
      </c>
      <c r="AC14" s="100" t="s">
        <v>80</v>
      </c>
      <c r="AD14" s="90"/>
    </row>
    <row r="15" spans="3:30" x14ac:dyDescent="0.25">
      <c r="C15" s="67" t="s">
        <v>26</v>
      </c>
      <c r="D15" s="83"/>
      <c r="E15" s="61" t="s">
        <v>5</v>
      </c>
      <c r="F15" s="83"/>
      <c r="G15" s="61" t="s">
        <v>5</v>
      </c>
      <c r="H15" s="83"/>
      <c r="I15" s="20"/>
      <c r="J15" s="83"/>
      <c r="K15" s="25"/>
      <c r="L15" s="62"/>
      <c r="N15" s="92">
        <v>8</v>
      </c>
      <c r="O15" s="105"/>
      <c r="P15" s="104"/>
      <c r="Q15" s="104"/>
      <c r="R15" s="105"/>
      <c r="S15" s="105"/>
      <c r="T15" s="106"/>
      <c r="U15" s="102" t="s">
        <v>108</v>
      </c>
      <c r="V15" s="102"/>
      <c r="W15" s="94"/>
      <c r="X15" s="111">
        <v>1</v>
      </c>
      <c r="Y15" s="109">
        <v>0.16</v>
      </c>
      <c r="Z15" s="105">
        <v>3.8404904176904173</v>
      </c>
      <c r="AA15" s="105">
        <v>4.290186363636364</v>
      </c>
      <c r="AB15" s="105">
        <v>3.3636363636363638E-2</v>
      </c>
      <c r="AC15" s="105">
        <v>2.9090909090909091E-2</v>
      </c>
      <c r="AD15" s="90"/>
    </row>
    <row r="16" spans="3:30" x14ac:dyDescent="0.25">
      <c r="C16" s="67" t="s">
        <v>27</v>
      </c>
      <c r="D16" s="83"/>
      <c r="E16" s="61" t="s">
        <v>5</v>
      </c>
      <c r="F16" s="83"/>
      <c r="G16" s="61" t="s">
        <v>5</v>
      </c>
      <c r="H16" s="83"/>
      <c r="I16" s="20"/>
      <c r="J16" s="83"/>
      <c r="K16" s="25"/>
      <c r="L16" s="62"/>
      <c r="N16" s="92">
        <v>9</v>
      </c>
      <c r="O16" s="105"/>
      <c r="P16" s="104"/>
      <c r="Q16" s="104"/>
      <c r="R16" s="105"/>
      <c r="S16" s="105"/>
      <c r="T16" s="106"/>
      <c r="U16" s="94"/>
      <c r="V16" s="94"/>
      <c r="W16" s="94"/>
      <c r="X16" s="111">
        <v>2</v>
      </c>
      <c r="Y16" s="109">
        <v>0.48</v>
      </c>
      <c r="Z16" s="105">
        <v>3.8733631449631449</v>
      </c>
      <c r="AA16" s="105">
        <v>4.3230590909090907</v>
      </c>
      <c r="AB16" s="105">
        <v>3.3636363636363638E-2</v>
      </c>
      <c r="AC16" s="105">
        <v>2.9090909090909091E-2</v>
      </c>
      <c r="AD16" s="90"/>
    </row>
    <row r="17" spans="3:30" x14ac:dyDescent="0.25">
      <c r="C17" s="60" t="s">
        <v>39</v>
      </c>
      <c r="D17" s="83"/>
      <c r="E17" s="61" t="s">
        <v>5</v>
      </c>
      <c r="F17" s="83"/>
      <c r="G17" s="61" t="s">
        <v>5</v>
      </c>
      <c r="H17" s="83"/>
      <c r="I17" s="20"/>
      <c r="J17" s="83"/>
      <c r="K17" s="25"/>
      <c r="L17" s="62"/>
      <c r="N17" s="92">
        <v>10</v>
      </c>
      <c r="O17" s="105"/>
      <c r="P17" s="104"/>
      <c r="Q17" s="104"/>
      <c r="R17" s="105"/>
      <c r="S17" s="105"/>
      <c r="T17" s="106"/>
      <c r="U17" s="94"/>
      <c r="V17" s="94"/>
      <c r="W17" s="94"/>
      <c r="X17" s="111">
        <v>3</v>
      </c>
      <c r="Y17" s="109">
        <v>0.8</v>
      </c>
      <c r="Z17" s="105">
        <v>3.9062358722358725</v>
      </c>
      <c r="AA17" s="105">
        <v>4.3559318181818192</v>
      </c>
      <c r="AB17" s="105">
        <v>3.3636363636363638E-2</v>
      </c>
      <c r="AC17" s="105">
        <v>2.9090909090909091E-2</v>
      </c>
      <c r="AD17" s="90"/>
    </row>
    <row r="18" spans="3:30" ht="15.75" thickBot="1" x14ac:dyDescent="0.3">
      <c r="C18" s="63"/>
      <c r="D18" s="64"/>
      <c r="E18" s="64"/>
      <c r="F18" s="64"/>
      <c r="G18" s="64"/>
      <c r="H18" s="64"/>
      <c r="I18" s="64"/>
      <c r="J18" s="64"/>
      <c r="K18" s="64"/>
      <c r="L18" s="65"/>
      <c r="N18" s="103"/>
      <c r="O18" s="93"/>
      <c r="P18" s="93"/>
      <c r="Q18" s="93"/>
      <c r="R18" s="93"/>
      <c r="S18" s="93"/>
      <c r="T18" s="93"/>
      <c r="U18" s="93"/>
      <c r="V18" s="93"/>
      <c r="W18" s="93"/>
      <c r="X18" s="111">
        <v>4</v>
      </c>
      <c r="Y18" s="109">
        <v>1.1200000000000001</v>
      </c>
      <c r="Z18" s="105">
        <v>3.9391085995085993</v>
      </c>
      <c r="AA18" s="105">
        <v>4.3888045454545459</v>
      </c>
      <c r="AB18" s="105">
        <v>3.3636363636363638E-2</v>
      </c>
      <c r="AC18" s="105">
        <v>2.9090909090909091E-2</v>
      </c>
      <c r="AD18" s="90"/>
    </row>
    <row r="19" spans="3:30" ht="15.75" customHeight="1" x14ac:dyDescent="0.35">
      <c r="C19" s="70"/>
      <c r="D19" s="68" t="s">
        <v>35</v>
      </c>
      <c r="E19" s="71"/>
      <c r="F19" s="71"/>
      <c r="G19" s="71"/>
      <c r="H19" s="71"/>
      <c r="I19" s="71"/>
      <c r="J19" s="71"/>
      <c r="K19" s="71"/>
      <c r="L19" s="72"/>
      <c r="N19" s="96"/>
      <c r="O19" s="97"/>
      <c r="P19" s="97"/>
      <c r="Q19" s="97"/>
      <c r="R19" s="98"/>
      <c r="X19" s="111">
        <v>5</v>
      </c>
      <c r="Y19" s="109">
        <v>1.44</v>
      </c>
      <c r="Z19" s="105">
        <v>3.9719813267813269</v>
      </c>
      <c r="AA19" s="105">
        <v>4.4216772727272726</v>
      </c>
      <c r="AB19" s="105">
        <v>3.3636363636363638E-2</v>
      </c>
      <c r="AC19" s="105">
        <v>2.9090909090909091E-2</v>
      </c>
      <c r="AD19" s="90"/>
    </row>
    <row r="20" spans="3:30" ht="15.75" customHeight="1" x14ac:dyDescent="0.35">
      <c r="C20" s="73"/>
      <c r="D20" s="74"/>
      <c r="E20" s="74"/>
      <c r="F20" s="74"/>
      <c r="G20" s="74"/>
      <c r="H20" s="74"/>
      <c r="I20" s="74"/>
      <c r="J20" s="74"/>
      <c r="K20" s="74"/>
      <c r="L20" s="75"/>
      <c r="N20" s="95"/>
      <c r="O20" s="118" t="s">
        <v>90</v>
      </c>
      <c r="P20" s="94"/>
      <c r="Q20" s="94"/>
      <c r="R20" s="90"/>
      <c r="X20" s="111">
        <v>6</v>
      </c>
      <c r="Y20" s="109">
        <v>1.76</v>
      </c>
      <c r="Z20" s="105">
        <v>4.0048540540540536</v>
      </c>
      <c r="AA20" s="105">
        <v>4.4545499999999993</v>
      </c>
      <c r="AB20" s="105">
        <v>3.3636363636363638E-2</v>
      </c>
      <c r="AC20" s="105">
        <v>2.9090909090909091E-2</v>
      </c>
      <c r="AD20" s="90"/>
    </row>
    <row r="21" spans="3:30" x14ac:dyDescent="0.25">
      <c r="C21" s="76" t="s">
        <v>36</v>
      </c>
      <c r="D21" s="43">
        <v>5</v>
      </c>
      <c r="E21" s="74"/>
      <c r="F21" s="84" t="s">
        <v>42</v>
      </c>
      <c r="G21" s="83">
        <v>12</v>
      </c>
      <c r="H21" s="74"/>
      <c r="I21" s="74"/>
      <c r="J21" s="74"/>
      <c r="K21" s="74"/>
      <c r="L21" s="75"/>
      <c r="N21" s="95"/>
      <c r="O21" s="94"/>
      <c r="P21" s="94"/>
      <c r="Q21" s="94"/>
      <c r="R21" s="90"/>
      <c r="S21" s="219"/>
      <c r="T21" s="219" t="s">
        <v>117</v>
      </c>
      <c r="U21" s="219"/>
      <c r="X21" s="111">
        <v>7</v>
      </c>
      <c r="Y21" s="109">
        <v>2.08</v>
      </c>
      <c r="Z21" s="105">
        <v>4.0377267813267812</v>
      </c>
      <c r="AA21" s="105">
        <v>4.4874227272727278</v>
      </c>
      <c r="AB21" s="105">
        <v>3.3636363636363638E-2</v>
      </c>
      <c r="AC21" s="105">
        <v>2.9090909090909091E-2</v>
      </c>
      <c r="AD21" s="90"/>
    </row>
    <row r="22" spans="3:30" ht="17.45" customHeight="1" x14ac:dyDescent="0.25">
      <c r="C22" s="318" t="s">
        <v>202</v>
      </c>
      <c r="D22" s="74"/>
      <c r="E22" s="74"/>
      <c r="F22" s="74"/>
      <c r="G22" s="74"/>
      <c r="H22" s="74"/>
      <c r="I22" s="74"/>
      <c r="J22" s="74"/>
      <c r="K22" s="74"/>
      <c r="L22" s="75"/>
      <c r="N22" s="95"/>
      <c r="O22" s="100" t="s">
        <v>89</v>
      </c>
      <c r="P22" s="100" t="s">
        <v>197</v>
      </c>
      <c r="Q22" s="100" t="s">
        <v>87</v>
      </c>
      <c r="R22" s="91" t="s">
        <v>88</v>
      </c>
      <c r="S22" s="219"/>
      <c r="T22" s="220" t="s">
        <v>56</v>
      </c>
      <c r="U22" s="220" t="s">
        <v>115</v>
      </c>
      <c r="X22" s="111">
        <v>8</v>
      </c>
      <c r="Y22" s="109">
        <v>2.4</v>
      </c>
      <c r="Z22" s="105">
        <v>4.0705995085995088</v>
      </c>
      <c r="AA22" s="105">
        <v>4.5202954545454546</v>
      </c>
      <c r="AB22" s="105">
        <v>3.3636363636363638E-2</v>
      </c>
      <c r="AC22" s="105">
        <v>2.9090909090909091E-2</v>
      </c>
      <c r="AD22" s="90"/>
    </row>
    <row r="23" spans="3:30" ht="16.5" x14ac:dyDescent="0.25">
      <c r="C23" s="81"/>
      <c r="D23" s="317" t="s">
        <v>198</v>
      </c>
      <c r="E23" s="69"/>
      <c r="F23" s="82" t="s">
        <v>38</v>
      </c>
      <c r="G23" s="83">
        <v>2.13</v>
      </c>
      <c r="H23" s="69" t="s">
        <v>5</v>
      </c>
      <c r="I23" s="77"/>
      <c r="J23" s="82" t="s">
        <v>41</v>
      </c>
      <c r="K23" s="83" t="s">
        <v>86</v>
      </c>
      <c r="L23" s="75"/>
      <c r="N23" s="113" t="s">
        <v>81</v>
      </c>
      <c r="O23" s="105">
        <v>0.31</v>
      </c>
      <c r="P23" s="105">
        <v>5.37</v>
      </c>
      <c r="Q23" s="105">
        <v>7.5</v>
      </c>
      <c r="R23" s="107">
        <v>0</v>
      </c>
      <c r="S23" s="221" t="s">
        <v>118</v>
      </c>
      <c r="T23" s="222">
        <v>21.983999999999998</v>
      </c>
      <c r="U23" s="222">
        <v>-28</v>
      </c>
      <c r="X23" s="111">
        <v>9</v>
      </c>
      <c r="Y23" s="109">
        <v>2.72</v>
      </c>
      <c r="Z23" s="105">
        <v>4.1034722358722355</v>
      </c>
      <c r="AA23" s="105">
        <v>4.5531681818181813</v>
      </c>
      <c r="AB23" s="105">
        <v>3.3636363636363638E-2</v>
      </c>
      <c r="AC23" s="105">
        <v>2.9090909090909091E-2</v>
      </c>
      <c r="AD23" s="90"/>
    </row>
    <row r="24" spans="3:30" ht="16.5" x14ac:dyDescent="0.25">
      <c r="C24" s="81"/>
      <c r="D24" s="317" t="s">
        <v>199</v>
      </c>
      <c r="E24" s="69"/>
      <c r="F24" s="82" t="s">
        <v>38</v>
      </c>
      <c r="G24" s="83">
        <v>2.13</v>
      </c>
      <c r="H24" s="69" t="s">
        <v>5</v>
      </c>
      <c r="I24" s="69"/>
      <c r="J24" s="82" t="s">
        <v>41</v>
      </c>
      <c r="K24" s="83" t="s">
        <v>85</v>
      </c>
      <c r="L24" s="75"/>
      <c r="N24" s="113" t="s">
        <v>82</v>
      </c>
      <c r="O24" s="105">
        <v>0.62</v>
      </c>
      <c r="P24" s="105">
        <v>7.63</v>
      </c>
      <c r="Q24" s="105">
        <v>9.76</v>
      </c>
      <c r="R24" s="107">
        <v>22</v>
      </c>
      <c r="S24" s="221" t="s">
        <v>119</v>
      </c>
      <c r="T24" s="222">
        <v>17.956</v>
      </c>
      <c r="U24" s="222">
        <v>-26</v>
      </c>
      <c r="X24" s="111">
        <v>10</v>
      </c>
      <c r="Y24" s="109">
        <v>3.04</v>
      </c>
      <c r="Z24" s="105">
        <v>4.1363449631449631</v>
      </c>
      <c r="AA24" s="105">
        <v>4.5860409090909098</v>
      </c>
      <c r="AB24" s="105">
        <v>3.3636363636363638E-2</v>
      </c>
      <c r="AC24" s="105">
        <v>2.9090909090909091E-2</v>
      </c>
      <c r="AD24" s="90"/>
    </row>
    <row r="25" spans="3:30" ht="16.5" x14ac:dyDescent="0.25">
      <c r="C25" s="81"/>
      <c r="D25" s="317" t="s">
        <v>200</v>
      </c>
      <c r="E25" s="69"/>
      <c r="F25" s="82" t="s">
        <v>38</v>
      </c>
      <c r="G25" s="83">
        <v>2.13</v>
      </c>
      <c r="H25" s="69" t="s">
        <v>5</v>
      </c>
      <c r="I25" s="69"/>
      <c r="J25" s="82" t="s">
        <v>41</v>
      </c>
      <c r="K25" s="83" t="s">
        <v>86</v>
      </c>
      <c r="L25" s="75"/>
      <c r="N25" s="113" t="s">
        <v>83</v>
      </c>
      <c r="O25" s="105">
        <v>0.31</v>
      </c>
      <c r="P25" s="105">
        <v>12.620000000000001</v>
      </c>
      <c r="Q25" s="105">
        <v>14.75</v>
      </c>
      <c r="R25" s="107">
        <v>32</v>
      </c>
      <c r="S25" s="221" t="s">
        <v>120</v>
      </c>
      <c r="T25" s="222">
        <v>17.759999999999998</v>
      </c>
      <c r="U25" s="222">
        <v>-22</v>
      </c>
      <c r="X25" s="111">
        <v>11</v>
      </c>
      <c r="Y25" s="109">
        <v>3.36</v>
      </c>
      <c r="Z25" s="105">
        <v>4.1692176904176907</v>
      </c>
      <c r="AA25" s="105">
        <v>4.6189136363636365</v>
      </c>
      <c r="AB25" s="105">
        <v>3.3636363636363638E-2</v>
      </c>
      <c r="AC25" s="105">
        <v>2.9090909090909091E-2</v>
      </c>
      <c r="AD25" s="90"/>
    </row>
    <row r="26" spans="3:30" ht="16.5" x14ac:dyDescent="0.25">
      <c r="C26" s="81"/>
      <c r="D26" s="317" t="s">
        <v>201</v>
      </c>
      <c r="E26" s="69"/>
      <c r="F26" s="82" t="s">
        <v>38</v>
      </c>
      <c r="G26" s="83"/>
      <c r="H26" s="69" t="s">
        <v>5</v>
      </c>
      <c r="I26" s="69"/>
      <c r="J26" s="82" t="s">
        <v>41</v>
      </c>
      <c r="K26" s="83" t="s">
        <v>55</v>
      </c>
      <c r="L26" s="75"/>
      <c r="N26" s="113" t="s">
        <v>84</v>
      </c>
      <c r="O26" s="105"/>
      <c r="P26" s="105"/>
      <c r="Q26" s="105"/>
      <c r="R26" s="107"/>
      <c r="S26" s="221" t="s">
        <v>121</v>
      </c>
      <c r="T26" s="222">
        <v>16.63</v>
      </c>
      <c r="U26" s="222">
        <v>-11</v>
      </c>
      <c r="X26" s="111">
        <v>12</v>
      </c>
      <c r="Y26" s="109">
        <v>3.68</v>
      </c>
      <c r="Z26" s="105">
        <v>4.2020904176904175</v>
      </c>
      <c r="AA26" s="105">
        <v>4.6517863636363632</v>
      </c>
      <c r="AB26" s="105">
        <v>3.3636363636363638E-2</v>
      </c>
      <c r="AC26" s="105">
        <v>2.9090909090909091E-2</v>
      </c>
      <c r="AD26" s="90"/>
    </row>
    <row r="27" spans="3:30" ht="17.25" thickBot="1" x14ac:dyDescent="0.3">
      <c r="C27" s="78"/>
      <c r="D27" s="79"/>
      <c r="E27" s="79"/>
      <c r="F27" s="79"/>
      <c r="G27" s="79"/>
      <c r="H27" s="79"/>
      <c r="I27" s="79"/>
      <c r="J27" s="79"/>
      <c r="K27" s="79"/>
      <c r="L27" s="80"/>
      <c r="N27" s="103"/>
      <c r="O27" s="93"/>
      <c r="P27" s="93"/>
      <c r="Q27" s="93"/>
      <c r="R27" s="101"/>
      <c r="S27" s="221" t="s">
        <v>122</v>
      </c>
      <c r="T27" s="222">
        <v>14.620000000000001</v>
      </c>
      <c r="U27" s="222">
        <v>-2.5</v>
      </c>
      <c r="X27" s="111">
        <v>13</v>
      </c>
      <c r="Y27" s="109">
        <v>4</v>
      </c>
      <c r="Z27" s="105">
        <v>4.2349631449631451</v>
      </c>
      <c r="AA27" s="105">
        <v>4.6846590909090917</v>
      </c>
      <c r="AB27" s="105">
        <v>3.3636363636363638E-2</v>
      </c>
      <c r="AC27" s="105">
        <v>2.9090909090909091E-2</v>
      </c>
      <c r="AD27" s="90"/>
    </row>
    <row r="28" spans="3:30" ht="16.5" x14ac:dyDescent="0.25">
      <c r="S28" s="221" t="s">
        <v>123</v>
      </c>
      <c r="T28" s="222">
        <v>13.36</v>
      </c>
      <c r="U28" s="222">
        <v>-15</v>
      </c>
      <c r="X28" s="111">
        <v>14</v>
      </c>
      <c r="Y28" s="109">
        <v>4.32</v>
      </c>
      <c r="Z28" s="105">
        <v>4.2678358722358718</v>
      </c>
      <c r="AA28" s="105">
        <v>4.7175318181818184</v>
      </c>
      <c r="AB28" s="105">
        <v>3.3636363636363638E-2</v>
      </c>
      <c r="AC28" s="105">
        <v>2.9090909090909091E-2</v>
      </c>
      <c r="AD28" s="90"/>
    </row>
    <row r="29" spans="3:30" ht="16.5" x14ac:dyDescent="0.25">
      <c r="S29" s="221" t="s">
        <v>124</v>
      </c>
      <c r="T29" s="222">
        <v>13.36</v>
      </c>
      <c r="U29" s="222">
        <v>-26</v>
      </c>
      <c r="X29" s="111">
        <v>15</v>
      </c>
      <c r="Y29" s="109">
        <v>4.6399999999999997</v>
      </c>
      <c r="Z29" s="105">
        <v>4.3007085995085994</v>
      </c>
      <c r="AA29" s="105">
        <v>4.7504045454545452</v>
      </c>
      <c r="AB29" s="105">
        <v>3.3636363636363638E-2</v>
      </c>
      <c r="AC29" s="105">
        <v>2.9090909090909091E-2</v>
      </c>
      <c r="AD29" s="90"/>
    </row>
    <row r="30" spans="3:30" ht="16.5" x14ac:dyDescent="0.25">
      <c r="S30" s="221" t="s">
        <v>125</v>
      </c>
      <c r="T30" s="222"/>
      <c r="U30" s="222"/>
      <c r="X30" s="111">
        <v>16</v>
      </c>
      <c r="Y30" s="109">
        <v>4.96</v>
      </c>
      <c r="Z30" s="105">
        <v>4.3335813267813261</v>
      </c>
      <c r="AA30" s="105">
        <v>4.7832772727272719</v>
      </c>
      <c r="AB30" s="105">
        <v>3.3636363636363638E-2</v>
      </c>
      <c r="AC30" s="105">
        <v>2.9090909090909091E-2</v>
      </c>
      <c r="AD30" s="90"/>
    </row>
    <row r="31" spans="3:30" ht="17.25" thickBot="1" x14ac:dyDescent="0.3">
      <c r="S31" s="221" t="s">
        <v>126</v>
      </c>
      <c r="T31" s="222"/>
      <c r="U31" s="222"/>
      <c r="X31" s="111">
        <v>17</v>
      </c>
      <c r="Y31" s="109">
        <v>5.28</v>
      </c>
      <c r="Z31" s="105">
        <v>4.3664540540540546</v>
      </c>
      <c r="AA31" s="105">
        <v>4.8161500000000004</v>
      </c>
      <c r="AB31" s="105">
        <v>3.3636363636363638E-2</v>
      </c>
      <c r="AC31" s="105">
        <v>2.9090909090909091E-2</v>
      </c>
      <c r="AD31" s="90"/>
    </row>
    <row r="32" spans="3:30" ht="16.5" x14ac:dyDescent="0.25">
      <c r="E32" s="288" t="s">
        <v>43</v>
      </c>
      <c r="F32" s="289"/>
      <c r="G32" s="289"/>
      <c r="H32" s="290"/>
      <c r="L32" s="291" t="s">
        <v>183</v>
      </c>
      <c r="M32" s="292"/>
      <c r="N32" s="292"/>
      <c r="O32" s="292"/>
      <c r="P32" s="293"/>
      <c r="S32" s="221" t="s">
        <v>127</v>
      </c>
      <c r="T32" s="222"/>
      <c r="U32" s="222"/>
      <c r="X32" s="111">
        <v>18</v>
      </c>
      <c r="Y32" s="109">
        <v>5.6000000000000005</v>
      </c>
      <c r="Z32" s="105">
        <v>4.3993267813267813</v>
      </c>
      <c r="AA32" s="105">
        <v>4.8490227272727271</v>
      </c>
      <c r="AB32" s="105">
        <v>3.3636363636363638E-2</v>
      </c>
      <c r="AC32" s="105">
        <v>2.9090909090909091E-2</v>
      </c>
      <c r="AD32" s="90"/>
    </row>
    <row r="33" spans="5:30" ht="17.25" thickBot="1" x14ac:dyDescent="0.3">
      <c r="E33" s="86"/>
      <c r="F33" s="85" t="s">
        <v>44</v>
      </c>
      <c r="G33" s="85" t="s">
        <v>45</v>
      </c>
      <c r="H33" s="87" t="s">
        <v>46</v>
      </c>
      <c r="L33" s="294"/>
      <c r="M33" s="295"/>
      <c r="N33" s="295"/>
      <c r="O33" s="295"/>
      <c r="P33" s="296"/>
      <c r="S33" s="221"/>
      <c r="X33" s="111">
        <v>19</v>
      </c>
      <c r="Y33" s="109">
        <v>5.92</v>
      </c>
      <c r="Z33" s="105">
        <v>4.4321995085995081</v>
      </c>
      <c r="AA33" s="105">
        <v>4.8818954545454538</v>
      </c>
      <c r="AB33" s="105">
        <v>3.3636363636363638E-2</v>
      </c>
      <c r="AC33" s="105">
        <v>2.9090909090909091E-2</v>
      </c>
      <c r="AD33" s="90"/>
    </row>
    <row r="34" spans="5:30" x14ac:dyDescent="0.25">
      <c r="E34" s="86" t="s">
        <v>47</v>
      </c>
      <c r="F34" s="85" t="s">
        <v>48</v>
      </c>
      <c r="G34" s="85">
        <v>0</v>
      </c>
      <c r="H34" s="87">
        <v>0</v>
      </c>
      <c r="L34" s="268"/>
      <c r="M34" s="269"/>
      <c r="N34" s="269"/>
      <c r="O34" s="269"/>
      <c r="P34" s="270"/>
      <c r="X34" s="111">
        <v>20</v>
      </c>
      <c r="Y34" s="109">
        <v>6.24</v>
      </c>
      <c r="Z34" s="105">
        <v>4.4650722358722366</v>
      </c>
      <c r="AA34" s="105">
        <v>4.9147681818181823</v>
      </c>
      <c r="AB34" s="105">
        <v>3.3636363636363638E-2</v>
      </c>
      <c r="AC34" s="105">
        <v>2.9090909090909091E-2</v>
      </c>
      <c r="AD34" s="90"/>
    </row>
    <row r="35" spans="5:30" ht="16.5" x14ac:dyDescent="0.3">
      <c r="E35" s="86">
        <v>3</v>
      </c>
      <c r="F35" s="85" t="s">
        <v>49</v>
      </c>
      <c r="G35" s="85">
        <v>0.11</v>
      </c>
      <c r="H35" s="87">
        <v>0.375</v>
      </c>
      <c r="L35" s="271" t="s">
        <v>174</v>
      </c>
      <c r="M35" s="272" t="s">
        <v>184</v>
      </c>
      <c r="N35" s="272"/>
      <c r="O35" s="272"/>
      <c r="P35" s="273"/>
      <c r="X35" s="111">
        <v>21</v>
      </c>
      <c r="Y35" s="109">
        <v>6.5600000000000005</v>
      </c>
      <c r="Z35" s="105">
        <v>4.4979449631449633</v>
      </c>
      <c r="AA35" s="105">
        <v>4.947640909090909</v>
      </c>
      <c r="AB35" s="105">
        <v>3.3636363636363638E-2</v>
      </c>
      <c r="AC35" s="105">
        <v>2.9090909090909091E-2</v>
      </c>
      <c r="AD35" s="90"/>
    </row>
    <row r="36" spans="5:30" x14ac:dyDescent="0.25">
      <c r="E36" s="86">
        <v>4</v>
      </c>
      <c r="F36" s="85" t="s">
        <v>50</v>
      </c>
      <c r="G36" s="85">
        <v>0.2</v>
      </c>
      <c r="H36" s="87">
        <v>0.5</v>
      </c>
      <c r="L36" s="268"/>
      <c r="M36" s="267" t="s">
        <v>185</v>
      </c>
      <c r="N36" s="272"/>
      <c r="O36" s="272"/>
      <c r="P36" s="273"/>
      <c r="X36" s="111">
        <v>22</v>
      </c>
      <c r="Y36" s="109">
        <v>6.88</v>
      </c>
      <c r="Z36" s="105">
        <v>4.53081769041769</v>
      </c>
      <c r="AA36" s="105">
        <v>4.9805136363636358</v>
      </c>
      <c r="AB36" s="105">
        <v>3.3636363636363638E-2</v>
      </c>
      <c r="AC36" s="105">
        <v>2.9090909090909091E-2</v>
      </c>
      <c r="AD36" s="90"/>
    </row>
    <row r="37" spans="5:30" x14ac:dyDescent="0.25">
      <c r="E37" s="86">
        <v>5</v>
      </c>
      <c r="F37" s="85" t="s">
        <v>51</v>
      </c>
      <c r="G37" s="85">
        <v>0.31</v>
      </c>
      <c r="H37" s="87">
        <v>0.625</v>
      </c>
      <c r="L37" s="268"/>
      <c r="M37" s="272" t="s">
        <v>186</v>
      </c>
      <c r="N37" s="272"/>
      <c r="O37" s="272"/>
      <c r="P37" s="273"/>
      <c r="X37" s="111">
        <v>23</v>
      </c>
      <c r="Y37" s="109">
        <v>7.2</v>
      </c>
      <c r="Z37" s="105">
        <v>4.5636904176904185</v>
      </c>
      <c r="AA37" s="105">
        <v>5.0133863636363643</v>
      </c>
      <c r="AB37" s="105">
        <v>3.3636363636363638E-2</v>
      </c>
      <c r="AC37" s="105">
        <v>2.9090909090909091E-2</v>
      </c>
      <c r="AD37" s="90"/>
    </row>
    <row r="38" spans="5:30" x14ac:dyDescent="0.25">
      <c r="E38" s="86">
        <v>6</v>
      </c>
      <c r="F38" s="85" t="s">
        <v>52</v>
      </c>
      <c r="G38" s="85">
        <v>0.44</v>
      </c>
      <c r="H38" s="87">
        <v>0.75</v>
      </c>
      <c r="L38" s="268"/>
      <c r="M38" s="272" t="s">
        <v>187</v>
      </c>
      <c r="N38" s="272"/>
      <c r="O38" s="272"/>
      <c r="P38" s="273"/>
      <c r="X38" s="111">
        <v>24</v>
      </c>
      <c r="Y38" s="109">
        <v>7.5200000000000005</v>
      </c>
      <c r="Z38" s="105">
        <v>4.5965631449631452</v>
      </c>
      <c r="AA38" s="105">
        <v>5.046259090909091</v>
      </c>
      <c r="AB38" s="105">
        <v>3.3636363636363638E-2</v>
      </c>
      <c r="AC38" s="105">
        <v>2.9090909090909091E-2</v>
      </c>
      <c r="AD38" s="90"/>
    </row>
    <row r="39" spans="5:30" x14ac:dyDescent="0.25">
      <c r="E39" s="86">
        <v>7</v>
      </c>
      <c r="F39" s="85" t="s">
        <v>53</v>
      </c>
      <c r="G39" s="85">
        <v>0.6</v>
      </c>
      <c r="H39" s="87">
        <v>0.875</v>
      </c>
      <c r="L39" s="268"/>
      <c r="M39" s="272"/>
      <c r="N39" s="272"/>
      <c r="O39" s="272"/>
      <c r="P39" s="273"/>
      <c r="X39" s="111">
        <v>25</v>
      </c>
      <c r="Y39" s="109">
        <v>7.84</v>
      </c>
      <c r="Z39" s="105">
        <v>4.6294358722358719</v>
      </c>
      <c r="AA39" s="105">
        <v>5.0791318181818177</v>
      </c>
      <c r="AB39" s="105">
        <v>3.3636363636363638E-2</v>
      </c>
      <c r="AC39" s="105">
        <v>2.9090909090909091E-2</v>
      </c>
      <c r="AD39" s="90"/>
    </row>
    <row r="40" spans="5:30" ht="16.5" x14ac:dyDescent="0.3">
      <c r="E40" s="86">
        <v>8</v>
      </c>
      <c r="F40" s="85" t="s">
        <v>54</v>
      </c>
      <c r="G40" s="85">
        <v>0.79</v>
      </c>
      <c r="H40" s="87">
        <v>1</v>
      </c>
      <c r="L40" s="271" t="s">
        <v>177</v>
      </c>
      <c r="M40" s="272" t="s">
        <v>188</v>
      </c>
      <c r="N40" s="272"/>
      <c r="O40" s="272"/>
      <c r="P40" s="273"/>
      <c r="X40" s="111">
        <v>26</v>
      </c>
      <c r="Y40" s="109">
        <v>8.16</v>
      </c>
      <c r="Z40" s="105">
        <v>4.6623085995085987</v>
      </c>
      <c r="AA40" s="105">
        <v>5.1120045454545444</v>
      </c>
      <c r="AB40" s="105">
        <v>3.3636363636363638E-2</v>
      </c>
      <c r="AC40" s="105">
        <v>2.9090909090909091E-2</v>
      </c>
      <c r="AD40" s="90"/>
    </row>
    <row r="41" spans="5:30" x14ac:dyDescent="0.25">
      <c r="L41" s="268"/>
      <c r="M41" s="272" t="s">
        <v>189</v>
      </c>
      <c r="N41" s="272"/>
      <c r="O41" s="272"/>
      <c r="P41" s="273"/>
      <c r="X41" s="111">
        <v>27</v>
      </c>
      <c r="Y41" s="109">
        <v>8.48</v>
      </c>
      <c r="Z41" s="105">
        <v>4.6951813267813272</v>
      </c>
      <c r="AA41" s="105">
        <v>5.1448772727272729</v>
      </c>
      <c r="AB41" s="105">
        <v>3.3636363636363638E-2</v>
      </c>
      <c r="AC41" s="105">
        <v>2.9090909090909091E-2</v>
      </c>
      <c r="AD41" s="90"/>
    </row>
    <row r="42" spans="5:30" x14ac:dyDescent="0.25">
      <c r="L42" s="268"/>
      <c r="M42" s="272" t="s">
        <v>190</v>
      </c>
      <c r="N42" s="272"/>
      <c r="O42" s="272"/>
      <c r="P42" s="273"/>
      <c r="X42" s="111">
        <v>28</v>
      </c>
      <c r="Y42" s="109">
        <v>8.8000000000000007</v>
      </c>
      <c r="Z42" s="105">
        <v>4.7280540540540539</v>
      </c>
      <c r="AA42" s="105">
        <v>5.1777499999999996</v>
      </c>
      <c r="AB42" s="105">
        <v>3.3636363636363638E-2</v>
      </c>
      <c r="AC42" s="105">
        <v>2.9090909090909091E-2</v>
      </c>
      <c r="AD42" s="90"/>
    </row>
    <row r="43" spans="5:30" x14ac:dyDescent="0.25">
      <c r="L43" s="268"/>
      <c r="M43" s="272" t="s">
        <v>191</v>
      </c>
      <c r="N43" s="272"/>
      <c r="O43" s="272"/>
      <c r="P43" s="273"/>
      <c r="X43" s="111">
        <v>29</v>
      </c>
      <c r="Y43" s="109">
        <v>9.120000000000001</v>
      </c>
      <c r="Z43" s="105">
        <v>4.7609267813267806</v>
      </c>
      <c r="AA43" s="105">
        <v>5.2106227272727264</v>
      </c>
      <c r="AB43" s="105">
        <v>3.3636363636363638E-2</v>
      </c>
      <c r="AC43" s="105">
        <v>2.9090909090909091E-2</v>
      </c>
      <c r="AD43" s="90"/>
    </row>
    <row r="44" spans="5:30" x14ac:dyDescent="0.25">
      <c r="L44" s="268"/>
      <c r="M44" s="272" t="s">
        <v>192</v>
      </c>
      <c r="N44" s="272"/>
      <c r="O44" s="272"/>
      <c r="P44" s="273"/>
      <c r="X44" s="111">
        <v>30</v>
      </c>
      <c r="Y44" s="109">
        <v>9.44</v>
      </c>
      <c r="Z44" s="105">
        <v>4.7937995085995091</v>
      </c>
      <c r="AA44" s="105">
        <v>5.2434954545454548</v>
      </c>
      <c r="AB44" s="105">
        <v>3.3636363636363638E-2</v>
      </c>
      <c r="AC44" s="105">
        <v>2.9090909090909091E-2</v>
      </c>
      <c r="AD44" s="90"/>
    </row>
    <row r="45" spans="5:30" x14ac:dyDescent="0.25">
      <c r="L45" s="268"/>
      <c r="M45" s="272" t="s">
        <v>193</v>
      </c>
      <c r="N45" s="272"/>
      <c r="O45" s="272"/>
      <c r="P45" s="273"/>
      <c r="X45" s="111">
        <v>31</v>
      </c>
      <c r="Y45" s="109">
        <v>9.76</v>
      </c>
      <c r="Z45" s="105">
        <v>4.8266722358722358</v>
      </c>
      <c r="AA45" s="105">
        <v>5.2763681818181816</v>
      </c>
      <c r="AB45" s="105">
        <v>3.3636363636363638E-2</v>
      </c>
      <c r="AC45" s="105">
        <v>2.9090909090909091E-2</v>
      </c>
      <c r="AD45" s="90"/>
    </row>
    <row r="46" spans="5:30" x14ac:dyDescent="0.25">
      <c r="L46" s="268"/>
      <c r="M46" s="272" t="s">
        <v>194</v>
      </c>
      <c r="N46" s="272"/>
      <c r="O46" s="272"/>
      <c r="P46" s="273"/>
      <c r="X46" s="111">
        <v>32</v>
      </c>
      <c r="Y46" s="109">
        <v>10.08</v>
      </c>
      <c r="Z46" s="105">
        <v>4.8595449631449625</v>
      </c>
      <c r="AA46" s="105">
        <v>5.3092409090909083</v>
      </c>
      <c r="AB46" s="105">
        <v>3.3636363636363638E-2</v>
      </c>
      <c r="AC46" s="105">
        <v>2.9090909090909091E-2</v>
      </c>
      <c r="AD46" s="90"/>
    </row>
    <row r="47" spans="5:30" x14ac:dyDescent="0.25">
      <c r="L47" s="268"/>
      <c r="M47" s="272" t="s">
        <v>195</v>
      </c>
      <c r="N47" s="272"/>
      <c r="O47" s="272"/>
      <c r="P47" s="273"/>
      <c r="X47" s="111">
        <v>33</v>
      </c>
      <c r="Y47" s="109">
        <v>10.4</v>
      </c>
      <c r="Z47" s="105">
        <v>4.892417690417691</v>
      </c>
      <c r="AA47" s="105">
        <v>5.3421136363636368</v>
      </c>
      <c r="AB47" s="105">
        <v>3.3636363636363638E-2</v>
      </c>
      <c r="AC47" s="105">
        <v>2.9090909090909091E-2</v>
      </c>
      <c r="AD47" s="90"/>
    </row>
    <row r="48" spans="5:30" ht="15.75" thickBot="1" x14ac:dyDescent="0.3">
      <c r="L48" s="274"/>
      <c r="M48" s="275"/>
      <c r="N48" s="275"/>
      <c r="O48" s="275"/>
      <c r="P48" s="276"/>
      <c r="X48" s="111">
        <v>34</v>
      </c>
      <c r="Y48" s="109">
        <v>10.72</v>
      </c>
      <c r="Z48" s="105">
        <v>4.9252904176904178</v>
      </c>
      <c r="AA48" s="105">
        <v>5.3749863636363635</v>
      </c>
      <c r="AB48" s="105">
        <v>3.3636363636363638E-2</v>
      </c>
      <c r="AC48" s="105">
        <v>2.9090909090909091E-2</v>
      </c>
      <c r="AD48" s="90"/>
    </row>
    <row r="49" spans="24:30" x14ac:dyDescent="0.25">
      <c r="X49" s="111">
        <v>35</v>
      </c>
      <c r="Y49" s="109">
        <v>11.040000000000001</v>
      </c>
      <c r="Z49" s="105">
        <v>4.9581631449631445</v>
      </c>
      <c r="AA49" s="105">
        <v>5.4078590909090902</v>
      </c>
      <c r="AB49" s="105">
        <v>3.3636363636363638E-2</v>
      </c>
      <c r="AC49" s="105">
        <v>2.9090909090909091E-2</v>
      </c>
      <c r="AD49" s="90"/>
    </row>
    <row r="50" spans="24:30" x14ac:dyDescent="0.25">
      <c r="X50" s="111">
        <v>36</v>
      </c>
      <c r="Y50" s="109">
        <v>11.36</v>
      </c>
      <c r="Z50" s="105">
        <v>4.9910358722358712</v>
      </c>
      <c r="AA50" s="105">
        <v>5.4407318181818169</v>
      </c>
      <c r="AB50" s="105">
        <v>3.3636363636363638E-2</v>
      </c>
      <c r="AC50" s="105">
        <v>2.9090909090909091E-2</v>
      </c>
      <c r="AD50" s="90"/>
    </row>
    <row r="51" spans="24:30" x14ac:dyDescent="0.25">
      <c r="X51" s="111">
        <v>37</v>
      </c>
      <c r="Y51" s="109">
        <v>11.68</v>
      </c>
      <c r="Z51" s="105">
        <v>5.0239085995085997</v>
      </c>
      <c r="AA51" s="105">
        <v>5.4736045454545454</v>
      </c>
      <c r="AB51" s="105">
        <v>3.3636363636363638E-2</v>
      </c>
      <c r="AC51" s="105">
        <v>2.9090909090909091E-2</v>
      </c>
      <c r="AD51" s="90"/>
    </row>
    <row r="52" spans="24:30" x14ac:dyDescent="0.25">
      <c r="X52" s="111">
        <v>38</v>
      </c>
      <c r="Y52" s="109">
        <v>12</v>
      </c>
      <c r="Z52" s="105">
        <v>5.0567813267813264</v>
      </c>
      <c r="AA52" s="105">
        <v>5.5064772727272722</v>
      </c>
      <c r="AB52" s="105">
        <v>3.3636363636363638E-2</v>
      </c>
      <c r="AC52" s="105">
        <v>2.9090909090909091E-2</v>
      </c>
      <c r="AD52" s="90"/>
    </row>
    <row r="53" spans="24:30" x14ac:dyDescent="0.25">
      <c r="X53" s="111">
        <v>39</v>
      </c>
      <c r="Y53" s="109">
        <v>12.32</v>
      </c>
      <c r="Z53" s="105">
        <v>5.0896540540540531</v>
      </c>
      <c r="AA53" s="105">
        <v>5.5393499999999989</v>
      </c>
      <c r="AB53" s="105">
        <v>3.3636363636363638E-2</v>
      </c>
      <c r="AC53" s="105">
        <v>2.9090909090909091E-2</v>
      </c>
      <c r="AD53" s="90"/>
    </row>
    <row r="54" spans="24:30" x14ac:dyDescent="0.25">
      <c r="X54" s="111">
        <v>40</v>
      </c>
      <c r="Y54" s="109">
        <v>12.64</v>
      </c>
      <c r="Z54" s="105">
        <v>5.1225267813267816</v>
      </c>
      <c r="AA54" s="105">
        <v>5.5722227272727274</v>
      </c>
      <c r="AB54" s="105">
        <v>3.3636363636363638E-2</v>
      </c>
      <c r="AC54" s="105">
        <v>2.9090909090909091E-2</v>
      </c>
      <c r="AD54" s="90"/>
    </row>
    <row r="55" spans="24:30" x14ac:dyDescent="0.25">
      <c r="X55" s="111">
        <v>41</v>
      </c>
      <c r="Y55" s="109">
        <v>12.96</v>
      </c>
      <c r="Z55" s="105">
        <v>5.1553995085995084</v>
      </c>
      <c r="AA55" s="105">
        <v>5.6050954545454541</v>
      </c>
      <c r="AB55" s="105">
        <v>3.3636363636363638E-2</v>
      </c>
      <c r="AC55" s="105">
        <v>2.9090909090909091E-2</v>
      </c>
      <c r="AD55" s="90"/>
    </row>
    <row r="56" spans="24:30" x14ac:dyDescent="0.25">
      <c r="X56" s="111">
        <v>42</v>
      </c>
      <c r="Y56" s="109">
        <v>13.280000000000001</v>
      </c>
      <c r="Z56" s="105">
        <v>5.1882722358722351</v>
      </c>
      <c r="AA56" s="105">
        <v>5.6379681818181808</v>
      </c>
      <c r="AB56" s="105">
        <v>3.3636363636363638E-2</v>
      </c>
      <c r="AC56" s="105">
        <v>2.9090909090909091E-2</v>
      </c>
      <c r="AD56" s="90"/>
    </row>
    <row r="57" spans="24:30" x14ac:dyDescent="0.25">
      <c r="X57" s="111">
        <v>43</v>
      </c>
      <c r="Y57" s="109">
        <v>13.6</v>
      </c>
      <c r="Z57" s="105">
        <v>5.2211449631449636</v>
      </c>
      <c r="AA57" s="105">
        <v>5.6708409090909093</v>
      </c>
      <c r="AB57" s="105">
        <v>3.3636363636363638E-2</v>
      </c>
      <c r="AC57" s="105">
        <v>2.9090909090909091E-2</v>
      </c>
      <c r="AD57" s="90"/>
    </row>
    <row r="58" spans="24:30" x14ac:dyDescent="0.25">
      <c r="X58" s="111">
        <v>44</v>
      </c>
      <c r="Y58" s="109">
        <v>13.92</v>
      </c>
      <c r="Z58" s="105">
        <v>5.2540176904176903</v>
      </c>
      <c r="AA58" s="105">
        <v>5.703713636363636</v>
      </c>
      <c r="AB58" s="105">
        <v>3.3636363636363638E-2</v>
      </c>
      <c r="AC58" s="105">
        <v>2.9090909090909091E-2</v>
      </c>
      <c r="AD58" s="90"/>
    </row>
    <row r="59" spans="24:30" x14ac:dyDescent="0.25">
      <c r="X59" s="111">
        <v>45</v>
      </c>
      <c r="Y59" s="109">
        <v>14.24</v>
      </c>
      <c r="Z59" s="105">
        <v>5.286890417690417</v>
      </c>
      <c r="AA59" s="105">
        <v>5.7365863636363628</v>
      </c>
      <c r="AB59" s="105">
        <v>3.3636363636363638E-2</v>
      </c>
      <c r="AC59" s="105">
        <v>2.9090909090909091E-2</v>
      </c>
      <c r="AD59" s="90"/>
    </row>
    <row r="60" spans="24:30" x14ac:dyDescent="0.25">
      <c r="X60" s="111">
        <v>46</v>
      </c>
      <c r="Y60" s="109">
        <v>14.56</v>
      </c>
      <c r="Z60" s="105">
        <v>5.3197631449631455</v>
      </c>
      <c r="AA60" s="105">
        <v>5.7694590909090913</v>
      </c>
      <c r="AB60" s="105">
        <v>3.3636363636363638E-2</v>
      </c>
      <c r="AC60" s="105">
        <v>2.9090909090909091E-2</v>
      </c>
      <c r="AD60" s="90"/>
    </row>
    <row r="61" spans="24:30" x14ac:dyDescent="0.25">
      <c r="X61" s="111">
        <v>47</v>
      </c>
      <c r="Y61" s="109">
        <v>14.88</v>
      </c>
      <c r="Z61" s="105">
        <v>5.3526358722358722</v>
      </c>
      <c r="AA61" s="105">
        <v>5.802331818181818</v>
      </c>
      <c r="AB61" s="105">
        <v>3.3636363636363638E-2</v>
      </c>
      <c r="AC61" s="105">
        <v>2.9090909090909091E-2</v>
      </c>
      <c r="AD61" s="90"/>
    </row>
    <row r="62" spans="24:30" x14ac:dyDescent="0.25">
      <c r="X62" s="111">
        <v>48</v>
      </c>
      <c r="Y62" s="109">
        <v>15.200000000000001</v>
      </c>
      <c r="Z62" s="105">
        <v>5.3855085995085989</v>
      </c>
      <c r="AA62" s="105">
        <v>5.8352045454545447</v>
      </c>
      <c r="AB62" s="105">
        <v>3.3636363636363638E-2</v>
      </c>
      <c r="AC62" s="105">
        <v>2.9090909090909091E-2</v>
      </c>
      <c r="AD62" s="90"/>
    </row>
    <row r="63" spans="24:30" x14ac:dyDescent="0.25">
      <c r="X63" s="111">
        <v>49</v>
      </c>
      <c r="Y63" s="109">
        <v>15.52</v>
      </c>
      <c r="Z63" s="105">
        <v>5.4183813267813274</v>
      </c>
      <c r="AA63" s="105">
        <v>5.8680772727272732</v>
      </c>
      <c r="AB63" s="105">
        <v>3.3636363636363638E-2</v>
      </c>
      <c r="AC63" s="105">
        <v>2.9090909090909091E-2</v>
      </c>
      <c r="AD63" s="90"/>
    </row>
    <row r="64" spans="24:30" x14ac:dyDescent="0.25">
      <c r="X64" s="111">
        <v>50</v>
      </c>
      <c r="Y64" s="109">
        <v>15.84</v>
      </c>
      <c r="Z64" s="105">
        <v>5.4512540540540542</v>
      </c>
      <c r="AA64" s="105">
        <v>5.9009499999999999</v>
      </c>
      <c r="AB64" s="105">
        <v>3.3636363636363638E-2</v>
      </c>
      <c r="AC64" s="105">
        <v>2.9090909090909091E-2</v>
      </c>
      <c r="AD64" s="90"/>
    </row>
    <row r="65" spans="24:30" x14ac:dyDescent="0.25">
      <c r="X65" s="111">
        <v>51</v>
      </c>
      <c r="Y65" s="109">
        <v>16.16</v>
      </c>
      <c r="Z65" s="105">
        <v>5.4841267813267809</v>
      </c>
      <c r="AA65" s="105">
        <v>5.9338227272727266</v>
      </c>
      <c r="AB65" s="105">
        <v>3.3636363636363638E-2</v>
      </c>
      <c r="AC65" s="105">
        <v>2.9090909090909091E-2</v>
      </c>
      <c r="AD65" s="90"/>
    </row>
    <row r="66" spans="24:30" x14ac:dyDescent="0.25">
      <c r="X66" s="111">
        <v>52</v>
      </c>
      <c r="Y66" s="109">
        <v>16.48</v>
      </c>
      <c r="Z66" s="105">
        <v>5.5169995085995094</v>
      </c>
      <c r="AA66" s="105">
        <v>5.9666954545454551</v>
      </c>
      <c r="AB66" s="105">
        <v>3.3636363636363638E-2</v>
      </c>
      <c r="AC66" s="105">
        <v>2.9090909090909091E-2</v>
      </c>
      <c r="AD66" s="90"/>
    </row>
    <row r="67" spans="24:30" x14ac:dyDescent="0.25">
      <c r="X67" s="111">
        <v>53</v>
      </c>
      <c r="Y67" s="109">
        <v>16.8</v>
      </c>
      <c r="Z67" s="105">
        <v>5.5498722358722361</v>
      </c>
      <c r="AA67" s="105">
        <v>5.9995681818181819</v>
      </c>
      <c r="AB67" s="105">
        <v>3.3636363636363638E-2</v>
      </c>
      <c r="AC67" s="105">
        <v>2.9090909090909091E-2</v>
      </c>
      <c r="AD67" s="90"/>
    </row>
    <row r="68" spans="24:30" x14ac:dyDescent="0.25">
      <c r="X68" s="111">
        <v>54</v>
      </c>
      <c r="Y68" s="109">
        <v>17.12</v>
      </c>
      <c r="Z68" s="105">
        <v>5.5827449631449628</v>
      </c>
      <c r="AA68" s="105">
        <v>6.0324409090909086</v>
      </c>
      <c r="AB68" s="105">
        <v>3.3636363636363638E-2</v>
      </c>
      <c r="AC68" s="105">
        <v>2.9090909090909091E-2</v>
      </c>
      <c r="AD68" s="90"/>
    </row>
    <row r="69" spans="24:30" x14ac:dyDescent="0.25">
      <c r="X69" s="111">
        <v>55</v>
      </c>
      <c r="Y69" s="109">
        <v>17.440000000000001</v>
      </c>
      <c r="Z69" s="105">
        <v>5.6156176904176913</v>
      </c>
      <c r="AA69" s="105">
        <v>6.0653136363636371</v>
      </c>
      <c r="AB69" s="105">
        <v>3.3636363636363638E-2</v>
      </c>
      <c r="AC69" s="105">
        <v>2.9090909090909091E-2</v>
      </c>
      <c r="AD69" s="90"/>
    </row>
    <row r="70" spans="24:30" x14ac:dyDescent="0.25">
      <c r="X70" s="111">
        <v>56</v>
      </c>
      <c r="Y70" s="109">
        <v>17.760000000000002</v>
      </c>
      <c r="Z70" s="105">
        <v>5.648490417690418</v>
      </c>
      <c r="AA70" s="105">
        <v>6.0981863636363638</v>
      </c>
      <c r="AB70" s="105">
        <v>3.3636363636363638E-2</v>
      </c>
      <c r="AC70" s="105">
        <v>2.9090909090909091E-2</v>
      </c>
      <c r="AD70" s="90"/>
    </row>
    <row r="71" spans="24:30" x14ac:dyDescent="0.25">
      <c r="X71" s="111">
        <v>57</v>
      </c>
      <c r="Y71" s="109">
        <v>18.080000000000002</v>
      </c>
      <c r="Z71" s="105">
        <v>5.6813631449631448</v>
      </c>
      <c r="AA71" s="105">
        <v>6.1310590909090905</v>
      </c>
      <c r="AB71" s="105">
        <v>3.3636363636363638E-2</v>
      </c>
      <c r="AC71" s="105">
        <v>2.9090909090909091E-2</v>
      </c>
      <c r="AD71" s="90"/>
    </row>
    <row r="72" spans="24:30" x14ac:dyDescent="0.25">
      <c r="X72" s="111">
        <v>58</v>
      </c>
      <c r="Y72" s="109">
        <v>18.400000000000002</v>
      </c>
      <c r="Z72" s="105">
        <v>5.7142358722358733</v>
      </c>
      <c r="AA72" s="105">
        <v>6.163931818181819</v>
      </c>
      <c r="AB72" s="105">
        <v>3.3636363636363638E-2</v>
      </c>
      <c r="AC72" s="105">
        <v>2.9090909090909091E-2</v>
      </c>
      <c r="AD72" s="90"/>
    </row>
    <row r="73" spans="24:30" x14ac:dyDescent="0.25">
      <c r="X73" s="111">
        <v>59</v>
      </c>
      <c r="Y73" s="109">
        <v>18.72</v>
      </c>
      <c r="Z73" s="105">
        <v>5.7471085995086</v>
      </c>
      <c r="AA73" s="105">
        <v>6.1968045454545457</v>
      </c>
      <c r="AB73" s="105">
        <v>3.3636363636363638E-2</v>
      </c>
      <c r="AC73" s="105">
        <v>2.9090909090909091E-2</v>
      </c>
      <c r="AD73" s="90"/>
    </row>
    <row r="74" spans="24:30" x14ac:dyDescent="0.25">
      <c r="X74" s="111">
        <v>60</v>
      </c>
      <c r="Y74" s="109">
        <v>19.04</v>
      </c>
      <c r="Z74" s="105">
        <v>5.7799813267813267</v>
      </c>
      <c r="AA74" s="105">
        <v>6.2296772727272725</v>
      </c>
      <c r="AB74" s="105">
        <v>3.3636363636363638E-2</v>
      </c>
      <c r="AC74" s="105">
        <v>2.9090909090909091E-2</v>
      </c>
      <c r="AD74" s="90"/>
    </row>
    <row r="75" spans="24:30" x14ac:dyDescent="0.25">
      <c r="X75" s="111">
        <v>61</v>
      </c>
      <c r="Y75" s="109">
        <v>19.36</v>
      </c>
      <c r="Z75" s="105">
        <v>5.8128540540540534</v>
      </c>
      <c r="AA75" s="105">
        <v>6.2625499999999992</v>
      </c>
      <c r="AB75" s="105">
        <v>3.3636363636363638E-2</v>
      </c>
      <c r="AC75" s="105">
        <v>2.9090909090909091E-2</v>
      </c>
      <c r="AD75" s="90"/>
    </row>
    <row r="76" spans="24:30" x14ac:dyDescent="0.25">
      <c r="X76" s="111">
        <v>62</v>
      </c>
      <c r="Y76" s="109">
        <v>19.68</v>
      </c>
      <c r="Z76" s="105">
        <v>5.8457267813267801</v>
      </c>
      <c r="AA76" s="105">
        <v>6.2954227272727259</v>
      </c>
      <c r="AB76" s="105">
        <v>3.3636363636363638E-2</v>
      </c>
      <c r="AC76" s="105">
        <v>2.9090909090909091E-2</v>
      </c>
      <c r="AD76" s="90"/>
    </row>
    <row r="77" spans="24:30" x14ac:dyDescent="0.25">
      <c r="X77" s="111">
        <v>63</v>
      </c>
      <c r="Y77" s="109">
        <v>20</v>
      </c>
      <c r="Z77" s="105">
        <v>5.8785995085995086</v>
      </c>
      <c r="AA77" s="105">
        <v>6.3282954545454544</v>
      </c>
      <c r="AB77" s="105">
        <v>3.3636363636363638E-2</v>
      </c>
      <c r="AC77" s="105">
        <v>2.9090909090909091E-2</v>
      </c>
      <c r="AD77" s="90"/>
    </row>
    <row r="78" spans="24:30" x14ac:dyDescent="0.25">
      <c r="X78" s="111">
        <v>64</v>
      </c>
      <c r="Y78" s="109">
        <v>20.32</v>
      </c>
      <c r="Z78" s="105">
        <v>5.9114722358722354</v>
      </c>
      <c r="AA78" s="105">
        <v>6.3611681818181811</v>
      </c>
      <c r="AB78" s="105">
        <v>3.3636363636363638E-2</v>
      </c>
      <c r="AC78" s="105">
        <v>2.9090909090909091E-2</v>
      </c>
      <c r="AD78" s="90"/>
    </row>
    <row r="79" spans="24:30" x14ac:dyDescent="0.25">
      <c r="X79" s="111">
        <v>65</v>
      </c>
      <c r="Y79" s="109">
        <v>20.64</v>
      </c>
      <c r="Z79" s="105">
        <v>5.9443449631449621</v>
      </c>
      <c r="AA79" s="105">
        <v>6.3940409090909078</v>
      </c>
      <c r="AB79" s="105">
        <v>3.3636363636363638E-2</v>
      </c>
      <c r="AC79" s="105">
        <v>2.9090909090909091E-2</v>
      </c>
      <c r="AD79" s="90"/>
    </row>
    <row r="80" spans="24:30" x14ac:dyDescent="0.25">
      <c r="X80" s="111">
        <v>66</v>
      </c>
      <c r="Y80" s="109">
        <v>20.96</v>
      </c>
      <c r="Z80" s="105">
        <v>5.9772176904176906</v>
      </c>
      <c r="AA80" s="105">
        <v>6.4269136363636363</v>
      </c>
      <c r="AB80" s="105">
        <v>3.3636363636363638E-2</v>
      </c>
      <c r="AC80" s="105">
        <v>2.9090909090909091E-2</v>
      </c>
      <c r="AD80" s="90"/>
    </row>
    <row r="81" spans="24:30" x14ac:dyDescent="0.25">
      <c r="X81" s="111">
        <v>67</v>
      </c>
      <c r="Y81" s="109">
        <v>21.28</v>
      </c>
      <c r="Z81" s="105">
        <v>6.0100904176904173</v>
      </c>
      <c r="AA81" s="105">
        <v>6.459786363636363</v>
      </c>
      <c r="AB81" s="105">
        <v>3.3636363636363638E-2</v>
      </c>
      <c r="AC81" s="105">
        <v>2.9090909090909091E-2</v>
      </c>
      <c r="AD81" s="90"/>
    </row>
    <row r="82" spans="24:30" x14ac:dyDescent="0.25">
      <c r="X82" s="111">
        <v>68</v>
      </c>
      <c r="Y82" s="109">
        <v>21.6</v>
      </c>
      <c r="Z82" s="105">
        <v>6.042963144963144</v>
      </c>
      <c r="AA82" s="105">
        <v>6.4926590909090898</v>
      </c>
      <c r="AB82" s="105">
        <v>3.3636363636363638E-2</v>
      </c>
      <c r="AC82" s="105">
        <v>2.9090909090909091E-2</v>
      </c>
      <c r="AD82" s="90"/>
    </row>
    <row r="83" spans="24:30" x14ac:dyDescent="0.25">
      <c r="X83" s="111">
        <v>69</v>
      </c>
      <c r="Y83" s="109">
        <v>21.92</v>
      </c>
      <c r="Z83" s="105">
        <v>6.0758358722358725</v>
      </c>
      <c r="AA83" s="105">
        <v>6.5255318181818183</v>
      </c>
      <c r="AB83" s="105">
        <v>3.3636363636363638E-2</v>
      </c>
      <c r="AC83" s="105">
        <v>2.9090909090909091E-2</v>
      </c>
      <c r="AD83" s="90"/>
    </row>
    <row r="84" spans="24:30" x14ac:dyDescent="0.25">
      <c r="X84" s="111">
        <v>70</v>
      </c>
      <c r="Y84" s="109">
        <v>22.240000000000002</v>
      </c>
      <c r="Z84" s="105">
        <v>6.6517600000000012</v>
      </c>
      <c r="AA84" s="105">
        <v>7.5197600000000016</v>
      </c>
      <c r="AB84" s="105">
        <v>0.05</v>
      </c>
      <c r="AC84" s="105">
        <v>0.02</v>
      </c>
      <c r="AD84" s="90"/>
    </row>
    <row r="85" spans="24:30" x14ac:dyDescent="0.25">
      <c r="X85" s="111">
        <v>71</v>
      </c>
      <c r="Y85" s="109">
        <v>22.56</v>
      </c>
      <c r="Z85" s="105">
        <v>6.8114399999999993</v>
      </c>
      <c r="AA85" s="105">
        <v>7.6794399999999996</v>
      </c>
      <c r="AB85" s="105">
        <v>0.05</v>
      </c>
      <c r="AC85" s="105">
        <v>0.02</v>
      </c>
      <c r="AD85" s="90"/>
    </row>
    <row r="86" spans="24:30" x14ac:dyDescent="0.25">
      <c r="X86" s="111">
        <v>72</v>
      </c>
      <c r="Y86" s="109">
        <v>22.88</v>
      </c>
      <c r="Z86" s="105">
        <v>6.9711199999999991</v>
      </c>
      <c r="AA86" s="105">
        <v>7.8391199999999994</v>
      </c>
      <c r="AB86" s="105">
        <v>0.05</v>
      </c>
      <c r="AC86" s="105">
        <v>0.02</v>
      </c>
      <c r="AD86" s="90"/>
    </row>
    <row r="87" spans="24:30" x14ac:dyDescent="0.25">
      <c r="X87" s="111">
        <v>73</v>
      </c>
      <c r="Y87" s="109">
        <v>23.2</v>
      </c>
      <c r="Z87" s="105">
        <v>7.1307999999999989</v>
      </c>
      <c r="AA87" s="105">
        <v>7.9987999999999992</v>
      </c>
      <c r="AB87" s="105">
        <v>0.05</v>
      </c>
      <c r="AC87" s="105">
        <v>0.02</v>
      </c>
      <c r="AD87" s="90"/>
    </row>
    <row r="88" spans="24:30" x14ac:dyDescent="0.25">
      <c r="X88" s="111">
        <v>74</v>
      </c>
      <c r="Y88" s="109">
        <v>23.52</v>
      </c>
      <c r="Z88" s="105">
        <v>7.2904800000000005</v>
      </c>
      <c r="AA88" s="105">
        <v>8.1584800000000008</v>
      </c>
      <c r="AB88" s="105">
        <v>0.05</v>
      </c>
      <c r="AC88" s="105">
        <v>0.02</v>
      </c>
      <c r="AD88" s="90"/>
    </row>
    <row r="89" spans="24:30" x14ac:dyDescent="0.25">
      <c r="X89" s="111">
        <v>75</v>
      </c>
      <c r="Y89" s="109">
        <v>23.84</v>
      </c>
      <c r="Z89" s="105">
        <v>7.4501600000000003</v>
      </c>
      <c r="AA89" s="105">
        <v>8.3181600000000007</v>
      </c>
      <c r="AB89" s="105">
        <v>0.05</v>
      </c>
      <c r="AC89" s="105">
        <v>0.02</v>
      </c>
      <c r="AD89" s="90"/>
    </row>
    <row r="90" spans="24:30" x14ac:dyDescent="0.25">
      <c r="X90" s="111">
        <v>76</v>
      </c>
      <c r="Y90" s="109">
        <v>24.16</v>
      </c>
      <c r="Z90" s="105">
        <v>7.6098400000000002</v>
      </c>
      <c r="AA90" s="105">
        <v>8.4778400000000005</v>
      </c>
      <c r="AB90" s="105">
        <v>0.05</v>
      </c>
      <c r="AC90" s="105">
        <v>0.02</v>
      </c>
      <c r="AD90" s="90"/>
    </row>
    <row r="91" spans="24:30" x14ac:dyDescent="0.25">
      <c r="X91" s="111">
        <v>77</v>
      </c>
      <c r="Y91" s="109">
        <v>24.48</v>
      </c>
      <c r="Z91" s="105">
        <v>7.76952</v>
      </c>
      <c r="AA91" s="105">
        <v>8.6375200000000003</v>
      </c>
      <c r="AB91" s="105">
        <v>0.05</v>
      </c>
      <c r="AC91" s="105">
        <v>0.02</v>
      </c>
      <c r="AD91" s="90"/>
    </row>
    <row r="92" spans="24:30" x14ac:dyDescent="0.25">
      <c r="X92" s="111">
        <v>78</v>
      </c>
      <c r="Y92" s="109">
        <v>24.8</v>
      </c>
      <c r="Z92" s="105">
        <v>7.9291999999999998</v>
      </c>
      <c r="AA92" s="105">
        <v>8.7972000000000001</v>
      </c>
      <c r="AB92" s="105">
        <v>0.05</v>
      </c>
      <c r="AC92" s="105">
        <v>0.02</v>
      </c>
      <c r="AD92" s="90"/>
    </row>
    <row r="93" spans="24:30" x14ac:dyDescent="0.25">
      <c r="X93" s="111">
        <v>79</v>
      </c>
      <c r="Y93" s="109">
        <v>25.12</v>
      </c>
      <c r="Z93" s="105">
        <v>8.0888800000000014</v>
      </c>
      <c r="AA93" s="105">
        <v>8.9568800000000017</v>
      </c>
      <c r="AB93" s="105">
        <v>0.05</v>
      </c>
      <c r="AC93" s="105">
        <v>0.02</v>
      </c>
      <c r="AD93" s="90"/>
    </row>
    <row r="94" spans="24:30" x14ac:dyDescent="0.25">
      <c r="X94" s="111">
        <v>80</v>
      </c>
      <c r="Y94" s="109">
        <v>25.44</v>
      </c>
      <c r="Z94" s="105">
        <v>8.2485600000000012</v>
      </c>
      <c r="AA94" s="105">
        <v>9.1165600000000016</v>
      </c>
      <c r="AB94" s="105">
        <v>0.05</v>
      </c>
      <c r="AC94" s="105">
        <v>0.02</v>
      </c>
      <c r="AD94" s="90"/>
    </row>
    <row r="95" spans="24:30" x14ac:dyDescent="0.25">
      <c r="X95" s="111">
        <v>81</v>
      </c>
      <c r="Y95" s="109">
        <v>25.76</v>
      </c>
      <c r="Z95" s="105">
        <v>8.408240000000001</v>
      </c>
      <c r="AA95" s="105">
        <v>9.2762400000000014</v>
      </c>
      <c r="AB95" s="105">
        <v>0.05</v>
      </c>
      <c r="AC95" s="105">
        <v>0.02</v>
      </c>
      <c r="AD95" s="90"/>
    </row>
    <row r="96" spans="24:30" x14ac:dyDescent="0.25">
      <c r="X96" s="111">
        <v>82</v>
      </c>
      <c r="Y96" s="109">
        <v>26.080000000000002</v>
      </c>
      <c r="Z96" s="105">
        <v>8.5679200000000009</v>
      </c>
      <c r="AA96" s="105">
        <v>9.4359200000000012</v>
      </c>
      <c r="AB96" s="105">
        <v>0.05</v>
      </c>
      <c r="AC96" s="105">
        <v>0.02</v>
      </c>
      <c r="AD96" s="90"/>
    </row>
    <row r="97" spans="24:30" x14ac:dyDescent="0.25">
      <c r="X97" s="111">
        <v>83</v>
      </c>
      <c r="Y97" s="109">
        <v>26.400000000000002</v>
      </c>
      <c r="Z97" s="105">
        <v>8.7276000000000007</v>
      </c>
      <c r="AA97" s="105">
        <v>9.595600000000001</v>
      </c>
      <c r="AB97" s="105">
        <v>0.05</v>
      </c>
      <c r="AC97" s="105">
        <v>0.02</v>
      </c>
      <c r="AD97" s="90"/>
    </row>
    <row r="98" spans="24:30" x14ac:dyDescent="0.25">
      <c r="X98" s="111">
        <v>84</v>
      </c>
      <c r="Y98" s="109">
        <v>26.72</v>
      </c>
      <c r="Z98" s="105">
        <v>8.8872799999999987</v>
      </c>
      <c r="AA98" s="105">
        <v>9.7552799999999991</v>
      </c>
      <c r="AB98" s="105">
        <v>0.05</v>
      </c>
      <c r="AC98" s="105">
        <v>0.02</v>
      </c>
      <c r="AD98" s="90"/>
    </row>
    <row r="99" spans="24:30" x14ac:dyDescent="0.25">
      <c r="X99" s="111">
        <v>85</v>
      </c>
      <c r="Y99" s="109">
        <v>27.04</v>
      </c>
      <c r="Z99" s="105">
        <v>9.0469600000000003</v>
      </c>
      <c r="AA99" s="105">
        <v>9.9149600000000007</v>
      </c>
      <c r="AB99" s="105">
        <v>0.05</v>
      </c>
      <c r="AC99" s="105">
        <v>0.02</v>
      </c>
      <c r="AD99" s="90"/>
    </row>
    <row r="100" spans="24:30" x14ac:dyDescent="0.25">
      <c r="X100" s="111">
        <v>86</v>
      </c>
      <c r="Y100" s="109">
        <v>27.36</v>
      </c>
      <c r="Z100" s="105">
        <v>9.2066400000000002</v>
      </c>
      <c r="AA100" s="105">
        <v>10.07464</v>
      </c>
      <c r="AB100" s="105">
        <v>0.05</v>
      </c>
      <c r="AC100" s="105">
        <v>0.02</v>
      </c>
      <c r="AD100" s="90"/>
    </row>
    <row r="101" spans="24:30" x14ac:dyDescent="0.25">
      <c r="X101" s="111">
        <v>87</v>
      </c>
      <c r="Y101" s="109">
        <v>27.68</v>
      </c>
      <c r="Z101" s="105">
        <v>9.36632</v>
      </c>
      <c r="AA101" s="105">
        <v>10.23432</v>
      </c>
      <c r="AB101" s="105">
        <v>0.05</v>
      </c>
      <c r="AC101" s="105">
        <v>0.02</v>
      </c>
      <c r="AD101" s="90"/>
    </row>
    <row r="102" spans="24:30" x14ac:dyDescent="0.25">
      <c r="X102" s="111">
        <v>88</v>
      </c>
      <c r="Y102" s="109">
        <v>28</v>
      </c>
      <c r="Z102" s="105">
        <v>9.5259999999999998</v>
      </c>
      <c r="AA102" s="105">
        <v>10.394</v>
      </c>
      <c r="AB102" s="105">
        <v>0.05</v>
      </c>
      <c r="AC102" s="105">
        <v>0.02</v>
      </c>
      <c r="AD102" s="90"/>
    </row>
    <row r="103" spans="24:30" x14ac:dyDescent="0.25">
      <c r="X103" s="111">
        <v>89</v>
      </c>
      <c r="Y103" s="109">
        <v>28.32</v>
      </c>
      <c r="Z103" s="105">
        <v>9.6856799999999996</v>
      </c>
      <c r="AA103" s="105">
        <v>10.55368</v>
      </c>
      <c r="AB103" s="105">
        <v>0.05</v>
      </c>
      <c r="AC103" s="105">
        <v>0.02</v>
      </c>
      <c r="AD103" s="90"/>
    </row>
    <row r="104" spans="24:30" x14ac:dyDescent="0.25">
      <c r="X104" s="111">
        <v>90</v>
      </c>
      <c r="Y104" s="109">
        <v>28.64</v>
      </c>
      <c r="Z104" s="105">
        <v>9.8453600000000012</v>
      </c>
      <c r="AA104" s="105">
        <v>10.713360000000002</v>
      </c>
      <c r="AB104" s="105">
        <v>0.05</v>
      </c>
      <c r="AC104" s="105">
        <v>0.02</v>
      </c>
      <c r="AD104" s="90"/>
    </row>
    <row r="105" spans="24:30" x14ac:dyDescent="0.25">
      <c r="X105" s="111">
        <v>91</v>
      </c>
      <c r="Y105" s="109">
        <v>28.96</v>
      </c>
      <c r="Z105" s="105">
        <v>10.005040000000001</v>
      </c>
      <c r="AA105" s="105">
        <v>10.873040000000001</v>
      </c>
      <c r="AB105" s="105">
        <v>0.05</v>
      </c>
      <c r="AC105" s="105">
        <v>0.02</v>
      </c>
      <c r="AD105" s="90"/>
    </row>
    <row r="106" spans="24:30" x14ac:dyDescent="0.25">
      <c r="X106" s="111">
        <v>92</v>
      </c>
      <c r="Y106" s="109">
        <v>29.28</v>
      </c>
      <c r="Z106" s="105">
        <v>10.164720000000001</v>
      </c>
      <c r="AA106" s="105">
        <v>11.032720000000001</v>
      </c>
      <c r="AB106" s="105">
        <v>0.05</v>
      </c>
      <c r="AC106" s="105">
        <v>0.02</v>
      </c>
      <c r="AD106" s="90"/>
    </row>
    <row r="107" spans="24:30" x14ac:dyDescent="0.25">
      <c r="X107" s="111">
        <v>93</v>
      </c>
      <c r="Y107" s="109">
        <v>29.6</v>
      </c>
      <c r="Z107" s="105">
        <v>10.324400000000001</v>
      </c>
      <c r="AA107" s="105">
        <v>11.192400000000001</v>
      </c>
      <c r="AB107" s="105">
        <v>0.05</v>
      </c>
      <c r="AC107" s="105">
        <v>0.02</v>
      </c>
      <c r="AD107" s="90"/>
    </row>
    <row r="108" spans="24:30" x14ac:dyDescent="0.25">
      <c r="X108" s="111">
        <v>94</v>
      </c>
      <c r="Y108" s="109">
        <v>29.92</v>
      </c>
      <c r="Z108" s="105">
        <v>10.484080000000001</v>
      </c>
      <c r="AA108" s="105">
        <v>11.352080000000001</v>
      </c>
      <c r="AB108" s="105">
        <v>0.05</v>
      </c>
      <c r="AC108" s="105">
        <v>0.02</v>
      </c>
      <c r="AD108" s="90"/>
    </row>
    <row r="109" spans="24:30" x14ac:dyDescent="0.25">
      <c r="X109" s="111">
        <v>95</v>
      </c>
      <c r="Y109" s="109">
        <v>30.240000000000002</v>
      </c>
      <c r="Z109" s="105">
        <v>10.643760000000002</v>
      </c>
      <c r="AA109" s="105">
        <v>11.511760000000002</v>
      </c>
      <c r="AB109" s="105">
        <v>0.05</v>
      </c>
      <c r="AC109" s="105">
        <v>0.02</v>
      </c>
      <c r="AD109" s="90"/>
    </row>
    <row r="110" spans="24:30" x14ac:dyDescent="0.25">
      <c r="X110" s="111">
        <v>96</v>
      </c>
      <c r="Y110" s="109">
        <v>30.560000000000002</v>
      </c>
      <c r="Z110" s="105">
        <v>10.80344</v>
      </c>
      <c r="AA110" s="105">
        <v>11.67144</v>
      </c>
      <c r="AB110" s="105">
        <v>0.05</v>
      </c>
      <c r="AC110" s="105">
        <v>0.02</v>
      </c>
      <c r="AD110" s="90"/>
    </row>
    <row r="111" spans="24:30" x14ac:dyDescent="0.25">
      <c r="X111" s="111">
        <v>97</v>
      </c>
      <c r="Y111" s="109">
        <v>30.88</v>
      </c>
      <c r="Z111" s="105">
        <v>10.963119999999998</v>
      </c>
      <c r="AA111" s="105">
        <v>11.831119999999999</v>
      </c>
      <c r="AB111" s="105">
        <v>0.05</v>
      </c>
      <c r="AC111" s="105">
        <v>0.02</v>
      </c>
      <c r="AD111" s="90"/>
    </row>
    <row r="112" spans="24:30" x14ac:dyDescent="0.25">
      <c r="X112" s="111">
        <v>98</v>
      </c>
      <c r="Y112" s="109">
        <v>31.2</v>
      </c>
      <c r="Z112" s="105">
        <v>11.1228</v>
      </c>
      <c r="AA112" s="105">
        <v>11.9908</v>
      </c>
      <c r="AB112" s="105">
        <v>0.05</v>
      </c>
      <c r="AC112" s="105">
        <v>0.02</v>
      </c>
      <c r="AD112" s="90"/>
    </row>
    <row r="113" spans="24:30" x14ac:dyDescent="0.25">
      <c r="X113" s="111">
        <v>99</v>
      </c>
      <c r="Y113" s="109">
        <v>31.52</v>
      </c>
      <c r="Z113" s="105">
        <v>11.28248</v>
      </c>
      <c r="AA113" s="105">
        <v>12.15048</v>
      </c>
      <c r="AB113" s="105">
        <v>0.05</v>
      </c>
      <c r="AC113" s="105">
        <v>0.02</v>
      </c>
      <c r="AD113" s="90"/>
    </row>
    <row r="114" spans="24:30" ht="15.75" thickBot="1" x14ac:dyDescent="0.3">
      <c r="X114" s="112">
        <v>100</v>
      </c>
      <c r="Y114" s="110">
        <v>31.84</v>
      </c>
      <c r="Z114" s="108">
        <v>11.442159999999999</v>
      </c>
      <c r="AA114" s="108">
        <v>12.31016</v>
      </c>
      <c r="AB114" s="108">
        <v>0.05</v>
      </c>
      <c r="AC114" s="108">
        <v>0.02</v>
      </c>
      <c r="AD114" s="101"/>
    </row>
  </sheetData>
  <mergeCells count="2">
    <mergeCell ref="E32:H32"/>
    <mergeCell ref="L32:P33"/>
  </mergeCells>
  <dataValidations count="6">
    <dataValidation type="list" allowBlank="1" showInputMessage="1" showErrorMessage="1" sqref="J5" xr:uid="{E2876987-A8E5-439A-9328-0F4BA614252D}">
      <formula1>"1,2,3,4,5,6,7,8,9,10"</formula1>
    </dataValidation>
    <dataValidation type="list" allowBlank="1" showInputMessage="1" showErrorMessage="1" sqref="J8:J17" xr:uid="{6E9F8905-D09F-43D5-8CD0-7490CC5F0B82}">
      <formula1>"1,2"</formula1>
    </dataValidation>
    <dataValidation type="list" allowBlank="1" showInputMessage="1" showErrorMessage="1" sqref="H8:H17 D21" xr:uid="{6A066093-DCCC-48A0-9903-3D9DF4AC457F}">
      <formula1>"3,4,5,6,7,8"</formula1>
    </dataValidation>
    <dataValidation type="list" allowBlank="1" showInputMessage="1" showErrorMessage="1" sqref="K23:K26" xr:uid="{0AC31706-FACB-41C2-B4B9-AA41E9E4EFE1}">
      <formula1>"Single,Double,N/A"</formula1>
    </dataValidation>
    <dataValidation type="decimal" operator="greaterThanOrEqual" allowBlank="1" showInputMessage="1" showErrorMessage="1" sqref="D8:D17 G23:G26" xr:uid="{FC83701B-6AAC-45C1-98F2-722970827E8C}">
      <formula1>0</formula1>
    </dataValidation>
    <dataValidation type="decimal" operator="greaterThan" allowBlank="1" showInputMessage="1" showErrorMessage="1" sqref="G21" xr:uid="{BAD6920C-8FB6-4FDA-91F9-898DFC75D07E}">
      <formula1>0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LongitudinalSteelCalculations">
                <anchor moveWithCells="1" sizeWithCells="1">
                  <from>
                    <xdr:col>10</xdr:col>
                    <xdr:colOff>676275</xdr:colOff>
                    <xdr:row>3</xdr:row>
                    <xdr:rowOff>209550</xdr:rowOff>
                  </from>
                  <to>
                    <xdr:col>11</xdr:col>
                    <xdr:colOff>438150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TransverseSteelCalculations">
                <anchor moveWithCells="1" sizeWithCells="1">
                  <from>
                    <xdr:col>10</xdr:col>
                    <xdr:colOff>581025</xdr:colOff>
                    <xdr:row>18</xdr:row>
                    <xdr:rowOff>114300</xdr:rowOff>
                  </from>
                  <to>
                    <xdr:col>11</xdr:col>
                    <xdr:colOff>400050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LongitudinalClear">
                <anchor moveWithCells="1" sizeWithCells="1">
                  <from>
                    <xdr:col>15</xdr:col>
                    <xdr:colOff>809625</xdr:colOff>
                    <xdr:row>3</xdr:row>
                    <xdr:rowOff>228600</xdr:rowOff>
                  </from>
                  <to>
                    <xdr:col>16</xdr:col>
                    <xdr:colOff>485775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TranverseClear">
                <anchor moveWithCells="1" sizeWithCells="1">
                  <from>
                    <xdr:col>15</xdr:col>
                    <xdr:colOff>762000</xdr:colOff>
                    <xdr:row>19</xdr:row>
                    <xdr:rowOff>0</xdr:rowOff>
                  </from>
                  <to>
                    <xdr:col>16</xdr:col>
                    <xdr:colOff>276225</xdr:colOff>
                    <xdr:row>20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7" name="Button 15">
              <controlPr defaultSize="0" print="0" autoFill="0" autoPict="0" macro="[0]!ReinforcementChart">
                <anchor moveWithCells="1" sizeWithCells="1">
                  <from>
                    <xdr:col>21</xdr:col>
                    <xdr:colOff>466725</xdr:colOff>
                    <xdr:row>29</xdr:row>
                    <xdr:rowOff>142875</xdr:rowOff>
                  </from>
                  <to>
                    <xdr:col>22</xdr:col>
                    <xdr:colOff>485775</xdr:colOff>
                    <xdr:row>32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0">
        <x14:dataValidation type="decimal" allowBlank="1" showInputMessage="1" showErrorMessage="1" xr:uid="{341C7D03-B4F3-4425-957E-E9AEF282DABF}">
          <x14:formula1>
            <xm:f>0</xm:f>
          </x14:formula1>
          <x14:formula2>
            <xm:f>Section!O6</xm:f>
          </x14:formula2>
          <xm:sqref>F8</xm:sqref>
        </x14:dataValidation>
        <x14:dataValidation type="decimal" allowBlank="1" showInputMessage="1" showErrorMessage="1" xr:uid="{89932919-93B4-4DE1-BE2E-A5E7A16FD466}">
          <x14:formula1>
            <xm:f>0</xm:f>
          </x14:formula1>
          <x14:formula2>
            <xm:f>Section!O6</xm:f>
          </x14:formula2>
          <xm:sqref>F9</xm:sqref>
        </x14:dataValidation>
        <x14:dataValidation type="decimal" allowBlank="1" showInputMessage="1" showErrorMessage="1" xr:uid="{2A0F4C82-E609-4EAB-BBF4-79AC904435BF}">
          <x14:formula1>
            <xm:f>0</xm:f>
          </x14:formula1>
          <x14:formula2>
            <xm:f>Section!O6</xm:f>
          </x14:formula2>
          <xm:sqref>F10</xm:sqref>
        </x14:dataValidation>
        <x14:dataValidation type="decimal" allowBlank="1" showInputMessage="1" showErrorMessage="1" xr:uid="{D2DC6819-7AFB-4D18-8F8C-3E4A94939E02}">
          <x14:formula1>
            <xm:f>0</xm:f>
          </x14:formula1>
          <x14:formula2>
            <xm:f>Section!O6</xm:f>
          </x14:formula2>
          <xm:sqref>F11</xm:sqref>
        </x14:dataValidation>
        <x14:dataValidation type="decimal" allowBlank="1" showInputMessage="1" showErrorMessage="1" xr:uid="{2F857150-B2AA-4719-B2A1-7E8D9B155227}">
          <x14:formula1>
            <xm:f>0</xm:f>
          </x14:formula1>
          <x14:formula2>
            <xm:f>Section!O6</xm:f>
          </x14:formula2>
          <xm:sqref>F16</xm:sqref>
        </x14:dataValidation>
        <x14:dataValidation type="decimal" allowBlank="1" showInputMessage="1" showErrorMessage="1" xr:uid="{15554BE4-1FEC-4702-9619-55DB685AA461}">
          <x14:formula1>
            <xm:f>0</xm:f>
          </x14:formula1>
          <x14:formula2>
            <xm:f>Section!O6</xm:f>
          </x14:formula2>
          <xm:sqref>F17</xm:sqref>
        </x14:dataValidation>
        <x14:dataValidation type="decimal" allowBlank="1" showInputMessage="1" showErrorMessage="1" xr:uid="{A47FFE13-2EFC-411E-8635-AFF0D9907CFD}">
          <x14:formula1>
            <xm:f>0</xm:f>
          </x14:formula1>
          <x14:formula2>
            <xm:f>Section!O6</xm:f>
          </x14:formula2>
          <xm:sqref>F15</xm:sqref>
        </x14:dataValidation>
        <x14:dataValidation type="decimal" allowBlank="1" showInputMessage="1" showErrorMessage="1" xr:uid="{17F40BF1-AEFD-4998-B2B3-CCAB4F6432CD}">
          <x14:formula1>
            <xm:f>0</xm:f>
          </x14:formula1>
          <x14:formula2>
            <xm:f>Section!O6</xm:f>
          </x14:formula2>
          <xm:sqref>F14</xm:sqref>
        </x14:dataValidation>
        <x14:dataValidation type="decimal" allowBlank="1" showInputMessage="1" showErrorMessage="1" xr:uid="{DB66BDFA-5555-46D3-9F71-FC79794AE528}">
          <x14:formula1>
            <xm:f>0</xm:f>
          </x14:formula1>
          <x14:formula2>
            <xm:f>Section!O6</xm:f>
          </x14:formula2>
          <xm:sqref>F13</xm:sqref>
        </x14:dataValidation>
        <x14:dataValidation type="decimal" allowBlank="1" showInputMessage="1" showErrorMessage="1" xr:uid="{CDE239EA-9E26-4468-8A17-F1CBA7424CE8}">
          <x14:formula1>
            <xm:f>0</xm:f>
          </x14:formula1>
          <x14:formula2>
            <xm:f>Section!O6</xm:f>
          </x14:formula2>
          <xm:sqref>F12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8094F-9231-450E-8F6F-5510E2855044}">
  <sheetPr codeName="Sheet4"/>
  <dimension ref="A1:L30"/>
  <sheetViews>
    <sheetView zoomScale="101" zoomScaleNormal="202" workbookViewId="0">
      <selection activeCell="P12" sqref="P12"/>
    </sheetView>
  </sheetViews>
  <sheetFormatPr defaultRowHeight="15" x14ac:dyDescent="0.25"/>
  <cols>
    <col min="1" max="4" width="9.140625" style="1"/>
    <col min="5" max="5" width="11.7109375" style="1" customWidth="1"/>
    <col min="6" max="16384" width="9.140625" style="1"/>
  </cols>
  <sheetData>
    <row r="1" spans="1:12" x14ac:dyDescent="0.25">
      <c r="A1" s="334">
        <v>2</v>
      </c>
    </row>
    <row r="2" spans="1:12" ht="15.75" thickBot="1" x14ac:dyDescent="0.3"/>
    <row r="3" spans="1:12" ht="18" x14ac:dyDescent="0.25">
      <c r="B3" s="138"/>
      <c r="C3" s="139"/>
      <c r="D3" s="139"/>
      <c r="E3" s="139"/>
      <c r="F3" s="140"/>
      <c r="G3" s="299"/>
      <c r="H3" s="300"/>
      <c r="I3" s="141"/>
      <c r="J3" s="141"/>
      <c r="K3" s="141"/>
      <c r="L3" s="142"/>
    </row>
    <row r="4" spans="1:12" ht="18" x14ac:dyDescent="0.25">
      <c r="B4" s="143"/>
      <c r="C4" s="144"/>
      <c r="D4" s="144"/>
      <c r="E4" s="144"/>
      <c r="F4" s="144"/>
      <c r="G4" s="301"/>
      <c r="H4" s="302"/>
      <c r="I4" s="160" t="s">
        <v>99</v>
      </c>
      <c r="J4" s="160"/>
      <c r="K4" s="160"/>
      <c r="L4" s="162"/>
    </row>
    <row r="5" spans="1:12" x14ac:dyDescent="0.25">
      <c r="B5" s="143"/>
      <c r="C5" s="144"/>
      <c r="D5" s="144"/>
      <c r="E5" s="144"/>
      <c r="F5" s="144"/>
      <c r="G5" s="297"/>
      <c r="H5" s="298"/>
      <c r="I5" s="144"/>
      <c r="J5" s="144"/>
      <c r="K5" s="144"/>
      <c r="L5" s="145"/>
    </row>
    <row r="6" spans="1:12" x14ac:dyDescent="0.25">
      <c r="B6" s="143"/>
      <c r="C6" s="144"/>
      <c r="D6" s="144"/>
      <c r="E6" s="144"/>
      <c r="F6" s="144"/>
      <c r="G6" s="297"/>
      <c r="H6" s="298"/>
      <c r="I6" s="144"/>
      <c r="J6" s="144"/>
      <c r="K6" s="144"/>
      <c r="L6" s="145"/>
    </row>
    <row r="7" spans="1:12" x14ac:dyDescent="0.25">
      <c r="B7" s="143"/>
      <c r="C7" s="144"/>
      <c r="D7" s="144"/>
      <c r="E7" s="144"/>
      <c r="F7" s="144"/>
      <c r="G7" s="297"/>
      <c r="H7" s="298"/>
      <c r="I7" s="146" t="s">
        <v>100</v>
      </c>
      <c r="J7" s="210">
        <v>42</v>
      </c>
      <c r="K7" s="144" t="s">
        <v>101</v>
      </c>
      <c r="L7" s="145"/>
    </row>
    <row r="8" spans="1:12" x14ac:dyDescent="0.25">
      <c r="B8" s="143"/>
      <c r="C8" s="144"/>
      <c r="D8" s="144"/>
      <c r="E8" s="144"/>
      <c r="F8" s="144"/>
      <c r="G8" s="297"/>
      <c r="H8" s="298"/>
      <c r="I8" s="144"/>
      <c r="J8" s="144"/>
      <c r="K8" s="144"/>
      <c r="L8" s="145"/>
    </row>
    <row r="9" spans="1:12" x14ac:dyDescent="0.25">
      <c r="B9" s="143"/>
      <c r="C9" s="144"/>
      <c r="D9" s="144"/>
      <c r="E9" s="144"/>
      <c r="F9" s="144"/>
      <c r="G9" s="297"/>
      <c r="H9" s="298"/>
      <c r="I9" s="144"/>
      <c r="J9" s="144"/>
      <c r="K9" s="144"/>
      <c r="L9" s="145"/>
    </row>
    <row r="10" spans="1:12" ht="15.75" thickBot="1" x14ac:dyDescent="0.3">
      <c r="B10" s="147"/>
      <c r="C10" s="148"/>
      <c r="D10" s="148"/>
      <c r="E10" s="148"/>
      <c r="F10" s="148"/>
      <c r="G10" s="305"/>
      <c r="H10" s="306"/>
      <c r="I10" s="148"/>
      <c r="J10" s="148"/>
      <c r="K10" s="148"/>
      <c r="L10" s="149"/>
    </row>
    <row r="11" spans="1:12" ht="18" x14ac:dyDescent="0.25">
      <c r="B11" s="150"/>
      <c r="C11" s="151"/>
      <c r="D11" s="151"/>
      <c r="E11" s="151"/>
      <c r="F11" s="151"/>
      <c r="G11" s="307"/>
      <c r="H11" s="308"/>
      <c r="I11" s="152"/>
      <c r="J11" s="152"/>
      <c r="K11" s="152"/>
      <c r="L11" s="153"/>
    </row>
    <row r="12" spans="1:12" ht="18" x14ac:dyDescent="0.25">
      <c r="B12" s="150"/>
      <c r="C12" s="151"/>
      <c r="D12" s="151"/>
      <c r="E12" s="151"/>
      <c r="F12" s="151"/>
      <c r="G12" s="309"/>
      <c r="H12" s="310"/>
      <c r="I12" s="154"/>
      <c r="J12" s="154"/>
      <c r="K12" s="154"/>
      <c r="L12" s="155"/>
    </row>
    <row r="13" spans="1:12" ht="18" x14ac:dyDescent="0.25">
      <c r="B13" s="150"/>
      <c r="C13" s="151"/>
      <c r="D13" s="151"/>
      <c r="E13" s="151"/>
      <c r="F13" s="151"/>
      <c r="G13" s="163"/>
      <c r="H13" s="164" t="s">
        <v>102</v>
      </c>
      <c r="I13" s="161"/>
      <c r="J13" s="161"/>
      <c r="K13" s="161"/>
      <c r="L13" s="165"/>
    </row>
    <row r="14" spans="1:12" x14ac:dyDescent="0.25">
      <c r="B14" s="150"/>
      <c r="C14" s="151"/>
      <c r="D14" s="151"/>
      <c r="E14" s="151"/>
      <c r="F14" s="151"/>
      <c r="G14" s="311"/>
      <c r="H14" s="312"/>
      <c r="I14" s="151"/>
      <c r="J14" s="151"/>
      <c r="K14" s="151"/>
      <c r="L14" s="156"/>
    </row>
    <row r="15" spans="1:12" x14ac:dyDescent="0.25">
      <c r="B15" s="150"/>
      <c r="C15" s="151"/>
      <c r="D15" s="151"/>
      <c r="E15" s="151"/>
      <c r="F15" s="151"/>
      <c r="G15" s="311"/>
      <c r="H15" s="312"/>
      <c r="I15" s="151"/>
      <c r="J15" s="151"/>
      <c r="K15" s="151"/>
      <c r="L15" s="156"/>
    </row>
    <row r="16" spans="1:12" ht="15.75" thickBot="1" x14ac:dyDescent="0.3">
      <c r="B16" s="157"/>
      <c r="C16" s="158"/>
      <c r="D16" s="158"/>
      <c r="E16" s="158"/>
      <c r="F16" s="158"/>
      <c r="G16" s="303"/>
      <c r="H16" s="304"/>
      <c r="I16" s="158"/>
      <c r="J16" s="158"/>
      <c r="K16" s="158"/>
      <c r="L16" s="159"/>
    </row>
    <row r="18" spans="3:11" x14ac:dyDescent="0.25">
      <c r="C18" s="320"/>
      <c r="D18" s="320"/>
      <c r="E18" s="320"/>
      <c r="F18" s="320"/>
      <c r="G18" s="320"/>
      <c r="H18" s="320"/>
      <c r="I18" s="320"/>
      <c r="J18" s="320"/>
      <c r="K18" s="320"/>
    </row>
    <row r="19" spans="3:11" ht="15.75" thickBot="1" x14ac:dyDescent="0.3">
      <c r="C19" s="320"/>
      <c r="D19" s="320"/>
      <c r="E19" s="320"/>
      <c r="F19" s="320"/>
      <c r="G19" s="320"/>
      <c r="H19" s="320"/>
      <c r="I19" s="320"/>
      <c r="J19" s="320"/>
      <c r="K19" s="320"/>
    </row>
    <row r="20" spans="3:11" ht="15" customHeight="1" x14ac:dyDescent="0.25">
      <c r="C20" s="320"/>
      <c r="D20" s="291" t="s">
        <v>183</v>
      </c>
      <c r="E20" s="327"/>
      <c r="F20" s="327"/>
      <c r="G20" s="327"/>
      <c r="H20" s="327"/>
      <c r="I20" s="327"/>
      <c r="J20" s="328"/>
      <c r="K20" s="320"/>
    </row>
    <row r="21" spans="3:11" ht="15.75" customHeight="1" thickBot="1" x14ac:dyDescent="0.3">
      <c r="C21" s="320"/>
      <c r="D21" s="329"/>
      <c r="E21" s="330"/>
      <c r="F21" s="330"/>
      <c r="G21" s="330"/>
      <c r="H21" s="330"/>
      <c r="I21" s="330"/>
      <c r="J21" s="331"/>
      <c r="K21" s="320"/>
    </row>
    <row r="22" spans="3:11" x14ac:dyDescent="0.25">
      <c r="C22" s="320"/>
      <c r="D22" s="228"/>
      <c r="E22" s="320"/>
      <c r="F22" s="320"/>
      <c r="G22" s="320"/>
      <c r="H22" s="320"/>
      <c r="I22" s="320"/>
      <c r="J22" s="321"/>
      <c r="K22" s="320"/>
    </row>
    <row r="23" spans="3:11" ht="16.5" x14ac:dyDescent="0.3">
      <c r="C23" s="320"/>
      <c r="D23" s="228"/>
      <c r="E23" s="332" t="s">
        <v>203</v>
      </c>
      <c r="F23" s="325" t="s">
        <v>204</v>
      </c>
      <c r="G23" s="325"/>
      <c r="H23" s="325"/>
      <c r="I23" s="325"/>
      <c r="J23" s="321"/>
      <c r="K23" s="320"/>
    </row>
    <row r="24" spans="3:11" x14ac:dyDescent="0.25">
      <c r="C24" s="320"/>
      <c r="D24" s="228"/>
      <c r="E24" s="333"/>
      <c r="F24" s="325" t="s">
        <v>205</v>
      </c>
      <c r="G24" s="325"/>
      <c r="H24" s="325"/>
      <c r="I24" s="325"/>
      <c r="J24" s="321"/>
      <c r="K24" s="320"/>
    </row>
    <row r="25" spans="3:11" x14ac:dyDescent="0.25">
      <c r="C25" s="320"/>
      <c r="D25" s="228"/>
      <c r="E25" s="333"/>
      <c r="F25" s="325" t="s">
        <v>207</v>
      </c>
      <c r="G25" s="325"/>
      <c r="H25" s="325"/>
      <c r="I25" s="325"/>
      <c r="J25" s="321"/>
      <c r="K25" s="320"/>
    </row>
    <row r="26" spans="3:11" x14ac:dyDescent="0.25">
      <c r="C26" s="320"/>
      <c r="D26" s="228"/>
      <c r="E26" s="333"/>
      <c r="F26" s="325" t="s">
        <v>206</v>
      </c>
      <c r="G26" s="325"/>
      <c r="H26" s="325"/>
      <c r="I26" s="325"/>
      <c r="J26" s="321"/>
      <c r="K26" s="320"/>
    </row>
    <row r="27" spans="3:11" x14ac:dyDescent="0.25">
      <c r="C27" s="320"/>
      <c r="D27" s="228"/>
      <c r="E27" s="333"/>
      <c r="F27" s="325"/>
      <c r="G27" s="325"/>
      <c r="H27" s="325"/>
      <c r="I27" s="325"/>
      <c r="J27" s="321"/>
      <c r="K27" s="320"/>
    </row>
    <row r="28" spans="3:11" ht="16.5" x14ac:dyDescent="0.3">
      <c r="C28" s="320"/>
      <c r="D28" s="228"/>
      <c r="E28" s="332" t="s">
        <v>177</v>
      </c>
      <c r="F28" s="325" t="s">
        <v>208</v>
      </c>
      <c r="G28" s="325"/>
      <c r="H28" s="325"/>
      <c r="I28" s="325"/>
      <c r="J28" s="321"/>
      <c r="K28" s="320"/>
    </row>
    <row r="29" spans="3:11" x14ac:dyDescent="0.25">
      <c r="C29" s="320"/>
      <c r="D29" s="228"/>
      <c r="E29" s="320"/>
      <c r="F29" s="325" t="s">
        <v>209</v>
      </c>
      <c r="G29" s="325"/>
      <c r="H29" s="325"/>
      <c r="I29" s="325"/>
      <c r="J29" s="321"/>
      <c r="K29" s="320"/>
    </row>
    <row r="30" spans="3:11" ht="15.75" thickBot="1" x14ac:dyDescent="0.3">
      <c r="C30" s="320"/>
      <c r="D30" s="322"/>
      <c r="E30" s="323"/>
      <c r="F30" s="326"/>
      <c r="G30" s="326"/>
      <c r="H30" s="326"/>
      <c r="I30" s="326"/>
      <c r="J30" s="324"/>
      <c r="K30" s="320"/>
    </row>
  </sheetData>
  <mergeCells count="14">
    <mergeCell ref="D20:J21"/>
    <mergeCell ref="G16:H16"/>
    <mergeCell ref="G9:H9"/>
    <mergeCell ref="G10:H10"/>
    <mergeCell ref="G11:H11"/>
    <mergeCell ref="G12:H12"/>
    <mergeCell ref="G14:H14"/>
    <mergeCell ref="G15:H15"/>
    <mergeCell ref="G8:H8"/>
    <mergeCell ref="G3:H3"/>
    <mergeCell ref="G4:H4"/>
    <mergeCell ref="G5:H5"/>
    <mergeCell ref="G6:H6"/>
    <mergeCell ref="G7:H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Option Button 1">
              <controlPr defaultSize="0" autoFill="0" autoLine="0" autoPict="0">
                <anchor moveWithCells="1">
                  <from>
                    <xdr:col>10</xdr:col>
                    <xdr:colOff>476250</xdr:colOff>
                    <xdr:row>3</xdr:row>
                    <xdr:rowOff>19050</xdr:rowOff>
                  </from>
                  <to>
                    <xdr:col>11</xdr:col>
                    <xdr:colOff>171450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Option Button 2">
              <controlPr defaultSize="0" autoFill="0" autoLine="0" autoPict="0">
                <anchor moveWithCells="1">
                  <from>
                    <xdr:col>10</xdr:col>
                    <xdr:colOff>504825</xdr:colOff>
                    <xdr:row>12</xdr:row>
                    <xdr:rowOff>9525</xdr:rowOff>
                  </from>
                  <to>
                    <xdr:col>11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79D3BD-F3ED-4C67-8219-A4A9A468007D}">
  <sheetPr codeName="Sheet3"/>
  <dimension ref="B3:J32"/>
  <sheetViews>
    <sheetView topLeftCell="F1" zoomScale="117" workbookViewId="0">
      <selection activeCell="N7" sqref="N7"/>
    </sheetView>
  </sheetViews>
  <sheetFormatPr defaultRowHeight="15" x14ac:dyDescent="0.25"/>
  <cols>
    <col min="1" max="1" width="9.140625" style="1"/>
    <col min="2" max="2" width="12.7109375" style="1" customWidth="1"/>
    <col min="3" max="4" width="9.140625" style="1"/>
    <col min="5" max="6" width="8.7109375" style="1" customWidth="1"/>
    <col min="7" max="7" width="11.7109375" style="1" customWidth="1"/>
    <col min="8" max="8" width="9.140625" style="1"/>
    <col min="9" max="9" width="10.7109375" style="1" customWidth="1"/>
    <col min="10" max="16384" width="9.140625" style="1"/>
  </cols>
  <sheetData>
    <row r="3" spans="2:10" ht="15.75" thickBot="1" x14ac:dyDescent="0.3"/>
    <row r="4" spans="2:10" ht="17.25" thickBot="1" x14ac:dyDescent="0.3">
      <c r="B4" s="313" t="s">
        <v>92</v>
      </c>
      <c r="C4" s="314"/>
      <c r="D4" s="315"/>
    </row>
    <row r="5" spans="2:10" ht="16.5" x14ac:dyDescent="0.25">
      <c r="B5" s="119"/>
      <c r="C5" s="120"/>
      <c r="D5" s="121"/>
    </row>
    <row r="6" spans="2:10" ht="16.5" x14ac:dyDescent="0.25">
      <c r="B6" s="344" t="s">
        <v>93</v>
      </c>
      <c r="C6" s="122">
        <v>4</v>
      </c>
      <c r="D6" s="123" t="s">
        <v>94</v>
      </c>
    </row>
    <row r="7" spans="2:10" ht="16.5" x14ac:dyDescent="0.25">
      <c r="B7" s="344" t="s">
        <v>95</v>
      </c>
      <c r="C7" s="124">
        <v>0.47434164899999998</v>
      </c>
      <c r="D7" s="123" t="s">
        <v>94</v>
      </c>
    </row>
    <row r="8" spans="2:10" ht="15.75" thickBot="1" x14ac:dyDescent="0.3">
      <c r="B8" s="125"/>
      <c r="C8" s="126"/>
      <c r="D8" s="127"/>
    </row>
    <row r="9" spans="2:10" ht="16.5" x14ac:dyDescent="0.25">
      <c r="G9" s="128"/>
      <c r="H9" s="129"/>
      <c r="I9" s="130"/>
      <c r="J9" s="131"/>
    </row>
    <row r="10" spans="2:10" ht="17.25" thickBot="1" x14ac:dyDescent="0.3">
      <c r="G10" s="132"/>
      <c r="H10" s="133" t="s">
        <v>113</v>
      </c>
      <c r="I10" s="211">
        <v>463.82562101390374</v>
      </c>
      <c r="J10" s="134"/>
    </row>
    <row r="11" spans="2:10" ht="17.25" thickBot="1" x14ac:dyDescent="0.3">
      <c r="B11" s="313" t="s">
        <v>96</v>
      </c>
      <c r="C11" s="314"/>
      <c r="D11" s="315"/>
      <c r="G11" s="132"/>
      <c r="H11" s="133"/>
      <c r="I11" s="212"/>
      <c r="J11" s="134"/>
    </row>
    <row r="12" spans="2:10" ht="16.5" x14ac:dyDescent="0.25">
      <c r="B12" s="119"/>
      <c r="C12" s="120"/>
      <c r="D12" s="121"/>
      <c r="G12" s="132"/>
      <c r="H12" s="133" t="s">
        <v>114</v>
      </c>
      <c r="I12" s="211">
        <v>314.45137384602828</v>
      </c>
      <c r="J12" s="134"/>
    </row>
    <row r="13" spans="2:10" ht="16.5" x14ac:dyDescent="0.25">
      <c r="B13" s="344" t="s">
        <v>97</v>
      </c>
      <c r="C13" s="122">
        <v>60</v>
      </c>
      <c r="D13" s="123" t="s">
        <v>94</v>
      </c>
      <c r="G13" s="132"/>
      <c r="H13" s="133"/>
      <c r="I13" s="212"/>
      <c r="J13" s="134"/>
    </row>
    <row r="14" spans="2:10" ht="17.25" thickBot="1" x14ac:dyDescent="0.3">
      <c r="B14" s="125"/>
      <c r="C14" s="126"/>
      <c r="D14" s="127"/>
      <c r="G14" s="132"/>
      <c r="H14" s="133" t="s">
        <v>98</v>
      </c>
      <c r="I14" s="211">
        <v>539.54983995550845</v>
      </c>
      <c r="J14" s="134"/>
    </row>
    <row r="15" spans="2:10" x14ac:dyDescent="0.25">
      <c r="G15" s="135"/>
      <c r="H15" s="136"/>
      <c r="I15" s="136"/>
      <c r="J15" s="137"/>
    </row>
    <row r="16" spans="2:10" ht="15.75" thickBot="1" x14ac:dyDescent="0.3"/>
    <row r="17" spans="2:7" ht="15" customHeight="1" x14ac:dyDescent="0.25">
      <c r="B17" s="291" t="s">
        <v>183</v>
      </c>
      <c r="C17" s="327"/>
      <c r="D17" s="327"/>
      <c r="E17" s="327"/>
      <c r="F17" s="327"/>
      <c r="G17" s="328"/>
    </row>
    <row r="18" spans="2:7" ht="15.75" customHeight="1" thickBot="1" x14ac:dyDescent="0.3">
      <c r="B18" s="329"/>
      <c r="C18" s="330"/>
      <c r="D18" s="330"/>
      <c r="E18" s="330"/>
      <c r="F18" s="330"/>
      <c r="G18" s="331"/>
    </row>
    <row r="19" spans="2:7" x14ac:dyDescent="0.25">
      <c r="B19" s="268"/>
      <c r="C19" s="343"/>
      <c r="D19" s="343"/>
      <c r="E19" s="343"/>
      <c r="F19" s="343"/>
      <c r="G19" s="342"/>
    </row>
    <row r="20" spans="2:7" ht="16.5" x14ac:dyDescent="0.3">
      <c r="B20" s="345" t="s">
        <v>210</v>
      </c>
      <c r="C20" s="346" t="s">
        <v>212</v>
      </c>
      <c r="D20" s="346"/>
      <c r="E20" s="346"/>
      <c r="F20" s="343"/>
      <c r="G20" s="270"/>
    </row>
    <row r="21" spans="2:7" x14ac:dyDescent="0.25">
      <c r="B21" s="268"/>
      <c r="C21" s="346" t="s">
        <v>213</v>
      </c>
      <c r="D21" s="346"/>
      <c r="E21" s="346"/>
      <c r="F21" s="343"/>
      <c r="G21" s="270"/>
    </row>
    <row r="22" spans="2:7" x14ac:dyDescent="0.25">
      <c r="B22" s="268"/>
      <c r="C22" s="346" t="s">
        <v>214</v>
      </c>
      <c r="D22" s="346"/>
      <c r="E22" s="346"/>
      <c r="F22" s="343"/>
      <c r="G22" s="270"/>
    </row>
    <row r="23" spans="2:7" x14ac:dyDescent="0.25">
      <c r="B23" s="268"/>
      <c r="C23" s="346" t="s">
        <v>215</v>
      </c>
      <c r="D23" s="346"/>
      <c r="E23" s="346"/>
      <c r="F23" s="343"/>
      <c r="G23" s="270"/>
    </row>
    <row r="24" spans="2:7" x14ac:dyDescent="0.25">
      <c r="B24" s="268"/>
      <c r="C24" s="346" t="s">
        <v>216</v>
      </c>
      <c r="D24" s="346"/>
      <c r="E24" s="346"/>
      <c r="F24" s="343"/>
      <c r="G24" s="270"/>
    </row>
    <row r="25" spans="2:7" x14ac:dyDescent="0.25">
      <c r="B25" s="268"/>
      <c r="C25" s="346" t="s">
        <v>211</v>
      </c>
      <c r="D25" s="346"/>
      <c r="E25" s="346"/>
      <c r="F25" s="343"/>
      <c r="G25" s="270"/>
    </row>
    <row r="26" spans="2:7" x14ac:dyDescent="0.25">
      <c r="B26" s="268"/>
      <c r="C26" s="346"/>
      <c r="D26" s="346"/>
      <c r="E26" s="346"/>
      <c r="F26" s="343"/>
      <c r="G26" s="270"/>
    </row>
    <row r="27" spans="2:7" ht="16.5" x14ac:dyDescent="0.3">
      <c r="B27" s="271" t="s">
        <v>177</v>
      </c>
      <c r="C27" s="346" t="s">
        <v>217</v>
      </c>
      <c r="D27" s="346"/>
      <c r="E27" s="346"/>
      <c r="F27" s="343"/>
      <c r="G27" s="270"/>
    </row>
    <row r="28" spans="2:7" ht="16.5" x14ac:dyDescent="0.3">
      <c r="B28" s="345"/>
      <c r="C28" s="346" t="s">
        <v>218</v>
      </c>
      <c r="D28" s="346"/>
      <c r="E28" s="346"/>
      <c r="F28" s="343"/>
      <c r="G28" s="270"/>
    </row>
    <row r="29" spans="2:7" ht="16.5" x14ac:dyDescent="0.3">
      <c r="B29" s="345"/>
      <c r="C29" s="346" t="s">
        <v>219</v>
      </c>
      <c r="D29" s="346"/>
      <c r="E29" s="346"/>
      <c r="F29" s="343"/>
      <c r="G29" s="270"/>
    </row>
    <row r="30" spans="2:7" x14ac:dyDescent="0.25">
      <c r="B30" s="268"/>
      <c r="C30" s="346" t="s">
        <v>220</v>
      </c>
      <c r="D30" s="346"/>
      <c r="E30" s="346"/>
      <c r="F30" s="343"/>
      <c r="G30" s="270"/>
    </row>
    <row r="31" spans="2:7" x14ac:dyDescent="0.25">
      <c r="B31" s="268"/>
      <c r="C31" s="346" t="s">
        <v>195</v>
      </c>
      <c r="D31" s="346"/>
      <c r="E31" s="346"/>
      <c r="F31" s="343"/>
      <c r="G31" s="270"/>
    </row>
    <row r="32" spans="2:7" ht="15.75" thickBot="1" x14ac:dyDescent="0.3">
      <c r="B32" s="274"/>
      <c r="C32" s="275"/>
      <c r="D32" s="275"/>
      <c r="E32" s="275"/>
      <c r="F32" s="277"/>
      <c r="G32" s="278"/>
    </row>
  </sheetData>
  <mergeCells count="3">
    <mergeCell ref="B4:D4"/>
    <mergeCell ref="B11:D11"/>
    <mergeCell ref="B17:G1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TotalMomentsCalculations">
                <anchor moveWithCells="1" sizeWithCells="1">
                  <from>
                    <xdr:col>6</xdr:col>
                    <xdr:colOff>123825</xdr:colOff>
                    <xdr:row>5</xdr:row>
                    <xdr:rowOff>161925</xdr:rowOff>
                  </from>
                  <to>
                    <xdr:col>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otalMomentsClear">
                <anchor moveWithCells="1" sizeWithCells="1">
                  <from>
                    <xdr:col>9</xdr:col>
                    <xdr:colOff>76200</xdr:colOff>
                    <xdr:row>8</xdr:row>
                    <xdr:rowOff>47625</xdr:rowOff>
                  </from>
                  <to>
                    <xdr:col>9</xdr:col>
                    <xdr:colOff>561975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2D33B5-D288-4691-927E-A39F572A9AE4}">
  <sheetPr codeName="Sheet6"/>
  <dimension ref="A1:AB36"/>
  <sheetViews>
    <sheetView topLeftCell="A2" zoomScale="103" zoomScaleNormal="98" workbookViewId="0">
      <selection activeCell="J22" sqref="J22"/>
    </sheetView>
  </sheetViews>
  <sheetFormatPr defaultRowHeight="15" x14ac:dyDescent="0.25"/>
  <cols>
    <col min="1" max="1" width="9.140625" style="1"/>
    <col min="2" max="2" width="1.7109375" style="1" customWidth="1"/>
    <col min="3" max="5" width="9.140625" style="1"/>
    <col min="6" max="6" width="12.7109375" style="1" customWidth="1"/>
    <col min="7" max="7" width="9.140625" style="1"/>
    <col min="8" max="11" width="13.7109375" style="1" customWidth="1"/>
    <col min="12" max="12" width="3.7109375" style="1" customWidth="1"/>
    <col min="13" max="13" width="19.7109375" style="1" customWidth="1"/>
    <col min="14" max="22" width="11.7109375" style="1" customWidth="1"/>
    <col min="23" max="23" width="6.7109375" style="1" customWidth="1"/>
    <col min="24" max="26" width="16.7109375" style="1" customWidth="1"/>
    <col min="27" max="27" width="3.7109375" style="1" customWidth="1"/>
    <col min="28" max="16384" width="9.140625" style="1"/>
  </cols>
  <sheetData>
    <row r="1" spans="1:28" ht="15.75" thickBot="1" x14ac:dyDescent="0.3">
      <c r="A1" s="334">
        <v>1</v>
      </c>
      <c r="L1" s="229"/>
    </row>
    <row r="2" spans="1:28" ht="15.75" thickBot="1" x14ac:dyDescent="0.3">
      <c r="L2" s="233"/>
      <c r="M2" s="234"/>
      <c r="N2" s="234"/>
      <c r="O2" s="234"/>
      <c r="P2" s="234"/>
      <c r="Q2" s="234"/>
      <c r="R2" s="234"/>
      <c r="S2" s="234"/>
      <c r="T2" s="234"/>
      <c r="U2" s="234"/>
      <c r="V2" s="234"/>
      <c r="W2" s="234"/>
      <c r="X2" s="234"/>
      <c r="Y2" s="234"/>
      <c r="Z2" s="234"/>
      <c r="AA2" s="234"/>
      <c r="AB2" s="228"/>
    </row>
    <row r="3" spans="1:28" ht="16.5" x14ac:dyDescent="0.3">
      <c r="B3" s="194"/>
      <c r="C3" s="195"/>
      <c r="D3" s="195"/>
      <c r="E3" s="195"/>
      <c r="F3" s="195"/>
      <c r="G3" s="196"/>
      <c r="H3" s="191"/>
      <c r="I3" s="192"/>
      <c r="J3" s="193"/>
      <c r="K3" s="225"/>
      <c r="L3" s="235"/>
      <c r="M3" s="236"/>
      <c r="N3" s="237"/>
      <c r="O3" s="238" t="s">
        <v>128</v>
      </c>
      <c r="P3" s="237"/>
      <c r="Q3" s="237"/>
      <c r="R3" s="237"/>
      <c r="S3" s="237"/>
      <c r="T3" s="237"/>
      <c r="U3" s="237"/>
      <c r="V3" s="239" t="s">
        <v>150</v>
      </c>
      <c r="W3" s="237"/>
      <c r="X3" s="237"/>
      <c r="Y3" s="237"/>
      <c r="Z3" s="256" t="s">
        <v>157</v>
      </c>
      <c r="AA3" s="237"/>
      <c r="AB3" s="228"/>
    </row>
    <row r="4" spans="1:28" ht="15.75" x14ac:dyDescent="0.25">
      <c r="B4" s="197"/>
      <c r="C4" s="198" t="s">
        <v>105</v>
      </c>
      <c r="D4" s="198"/>
      <c r="E4" s="199"/>
      <c r="F4" s="199"/>
      <c r="G4" s="200"/>
      <c r="H4" s="207" t="s">
        <v>111</v>
      </c>
      <c r="I4" s="208">
        <v>28.742828222871079</v>
      </c>
      <c r="J4" s="156" t="s">
        <v>106</v>
      </c>
      <c r="K4" s="225"/>
      <c r="L4" s="240"/>
      <c r="M4" s="241"/>
      <c r="N4" s="242"/>
      <c r="O4" s="243"/>
      <c r="P4" s="243"/>
      <c r="Q4" s="243"/>
      <c r="R4" s="243"/>
      <c r="S4" s="243" t="s">
        <v>146</v>
      </c>
      <c r="T4" s="243"/>
      <c r="U4" s="243"/>
      <c r="V4" s="243"/>
      <c r="W4" s="243"/>
      <c r="X4" s="242"/>
      <c r="Y4" s="243" t="s">
        <v>156</v>
      </c>
      <c r="Z4" s="244"/>
      <c r="AA4" s="237"/>
      <c r="AB4" s="228"/>
    </row>
    <row r="5" spans="1:28" ht="15.75" x14ac:dyDescent="0.25">
      <c r="B5" s="197"/>
      <c r="C5" s="198"/>
      <c r="D5" s="199"/>
      <c r="E5" s="199"/>
      <c r="F5" s="199"/>
      <c r="G5" s="200"/>
      <c r="H5" s="207" t="s">
        <v>112</v>
      </c>
      <c r="I5" s="208">
        <v>39.493012090375451</v>
      </c>
      <c r="J5" s="156" t="s">
        <v>153</v>
      </c>
      <c r="K5" s="225"/>
      <c r="L5" s="240"/>
      <c r="M5" s="256"/>
      <c r="N5" s="242"/>
      <c r="O5" s="245"/>
      <c r="P5" s="246" t="s">
        <v>143</v>
      </c>
      <c r="Q5" s="243"/>
      <c r="R5" s="245"/>
      <c r="S5" s="244"/>
      <c r="T5" s="246"/>
      <c r="U5" s="246" t="s">
        <v>144</v>
      </c>
      <c r="V5" s="245"/>
      <c r="W5" s="244"/>
      <c r="X5" s="245"/>
      <c r="Y5" s="245" t="s">
        <v>145</v>
      </c>
      <c r="Z5" s="247"/>
      <c r="AA5" s="237"/>
      <c r="AB5" s="228"/>
    </row>
    <row r="6" spans="1:28" ht="15.75" x14ac:dyDescent="0.25">
      <c r="B6" s="197"/>
      <c r="C6" s="198"/>
      <c r="D6" s="199"/>
      <c r="E6" s="199"/>
      <c r="F6" s="199"/>
      <c r="G6" s="200"/>
      <c r="H6" s="207" t="s">
        <v>109</v>
      </c>
      <c r="I6" s="208">
        <v>34.72181158842551</v>
      </c>
      <c r="J6" s="156" t="s">
        <v>155</v>
      </c>
      <c r="K6" s="225"/>
      <c r="L6" s="240"/>
      <c r="M6" s="237"/>
      <c r="N6" s="248"/>
      <c r="O6" s="249" t="s">
        <v>138</v>
      </c>
      <c r="P6" s="250"/>
      <c r="Q6" s="251"/>
      <c r="R6" s="249" t="s">
        <v>139</v>
      </c>
      <c r="S6" s="250"/>
      <c r="T6" s="252" t="s">
        <v>140</v>
      </c>
      <c r="U6" s="251"/>
      <c r="V6" s="249" t="s">
        <v>139</v>
      </c>
      <c r="W6" s="248"/>
      <c r="X6" s="253" t="s">
        <v>147</v>
      </c>
      <c r="Y6" s="253" t="s">
        <v>148</v>
      </c>
      <c r="Z6" s="254" t="s">
        <v>149</v>
      </c>
      <c r="AA6" s="237"/>
      <c r="AB6" s="228"/>
    </row>
    <row r="7" spans="1:28" ht="15.75" x14ac:dyDescent="0.25">
      <c r="B7" s="197"/>
      <c r="C7" s="198"/>
      <c r="D7" s="199"/>
      <c r="E7" s="199"/>
      <c r="F7" s="199"/>
      <c r="G7" s="200"/>
      <c r="H7" s="207" t="s">
        <v>110</v>
      </c>
      <c r="I7" s="208">
        <v>1.0850566121382972</v>
      </c>
      <c r="J7" s="156" t="s">
        <v>155</v>
      </c>
      <c r="K7" s="225"/>
      <c r="L7" s="240"/>
      <c r="M7" s="255" t="s">
        <v>129</v>
      </c>
      <c r="N7" s="256">
        <v>3</v>
      </c>
      <c r="O7" s="256">
        <v>4</v>
      </c>
      <c r="P7" s="256">
        <v>5</v>
      </c>
      <c r="Q7" s="256">
        <v>1</v>
      </c>
      <c r="R7" s="256">
        <v>2</v>
      </c>
      <c r="S7" s="256">
        <v>3</v>
      </c>
      <c r="T7" s="256">
        <v>5</v>
      </c>
      <c r="U7" s="256">
        <v>6</v>
      </c>
      <c r="V7" s="256">
        <v>7</v>
      </c>
      <c r="W7" s="261"/>
      <c r="X7" s="256" t="s">
        <v>141</v>
      </c>
      <c r="Y7" s="256" t="s">
        <v>142</v>
      </c>
      <c r="Z7" s="256" t="s">
        <v>141</v>
      </c>
      <c r="AA7" s="237"/>
      <c r="AB7" s="228"/>
    </row>
    <row r="8" spans="1:28" ht="16.5" x14ac:dyDescent="0.25">
      <c r="B8" s="197"/>
      <c r="C8" s="198"/>
      <c r="D8" s="199"/>
      <c r="E8" s="199"/>
      <c r="F8" s="199"/>
      <c r="G8" s="200"/>
      <c r="H8" s="207"/>
      <c r="I8" s="230"/>
      <c r="J8" s="156"/>
      <c r="K8" s="225"/>
      <c r="L8" s="240"/>
      <c r="M8" s="255" t="s">
        <v>130</v>
      </c>
      <c r="N8" s="256">
        <v>0.1</v>
      </c>
      <c r="O8" s="256">
        <v>0.2</v>
      </c>
      <c r="P8" s="256">
        <v>0.44</v>
      </c>
      <c r="Q8" s="256">
        <v>0.2</v>
      </c>
      <c r="R8" s="256">
        <v>0.2</v>
      </c>
      <c r="S8" s="256">
        <v>0.1</v>
      </c>
      <c r="T8" s="256">
        <v>0.44</v>
      </c>
      <c r="U8" s="256">
        <v>0.2</v>
      </c>
      <c r="V8" s="256">
        <v>0.2</v>
      </c>
      <c r="W8" s="262"/>
      <c r="X8" s="256" t="s">
        <v>159</v>
      </c>
      <c r="Y8" s="256" t="s">
        <v>160</v>
      </c>
      <c r="Z8" s="256" t="s">
        <v>159</v>
      </c>
      <c r="AA8" s="237"/>
      <c r="AB8" s="228"/>
    </row>
    <row r="9" spans="1:28" ht="17.25" thickBot="1" x14ac:dyDescent="0.3">
      <c r="B9" s="201"/>
      <c r="C9" s="202"/>
      <c r="D9" s="202"/>
      <c r="E9" s="202"/>
      <c r="F9" s="202"/>
      <c r="G9" s="203"/>
      <c r="H9" s="157"/>
      <c r="I9" s="158"/>
      <c r="J9" s="159"/>
      <c r="K9" s="225"/>
      <c r="L9" s="240"/>
      <c r="M9" s="255" t="s">
        <v>131</v>
      </c>
      <c r="N9" s="256"/>
      <c r="O9" s="256">
        <v>0.74</v>
      </c>
      <c r="P9" s="256"/>
      <c r="Q9" s="256"/>
      <c r="R9" s="256">
        <v>0.5</v>
      </c>
      <c r="S9" s="256"/>
      <c r="T9" s="316">
        <v>0.64</v>
      </c>
      <c r="U9" s="316"/>
      <c r="V9" s="256">
        <v>0.2</v>
      </c>
      <c r="W9" s="262"/>
      <c r="X9" s="256">
        <v>0.31</v>
      </c>
      <c r="Y9" s="256">
        <v>0.62</v>
      </c>
      <c r="Z9" s="256">
        <v>0.31</v>
      </c>
      <c r="AA9" s="237"/>
      <c r="AB9" s="228"/>
    </row>
    <row r="10" spans="1:28" x14ac:dyDescent="0.25">
      <c r="B10" s="197"/>
      <c r="C10" s="199"/>
      <c r="D10" s="199"/>
      <c r="E10" s="199"/>
      <c r="F10" s="199"/>
      <c r="G10" s="200"/>
      <c r="H10" s="191"/>
      <c r="I10" s="192"/>
      <c r="J10" s="193"/>
      <c r="K10" s="225"/>
      <c r="L10" s="240"/>
      <c r="M10" s="255" t="s">
        <v>132</v>
      </c>
      <c r="N10" s="256">
        <v>3</v>
      </c>
      <c r="O10" s="256">
        <v>3</v>
      </c>
      <c r="P10" s="260">
        <v>4.1399999999999997</v>
      </c>
      <c r="Q10" s="256">
        <v>1.77</v>
      </c>
      <c r="R10" s="256">
        <v>4.8</v>
      </c>
      <c r="S10" s="256">
        <v>3</v>
      </c>
      <c r="T10" s="256">
        <v>3.62</v>
      </c>
      <c r="U10" s="256">
        <v>2.36</v>
      </c>
      <c r="V10" s="256">
        <v>2.36</v>
      </c>
      <c r="W10" s="262"/>
      <c r="X10" s="256">
        <v>2.13</v>
      </c>
      <c r="Y10" s="256">
        <v>2.13</v>
      </c>
      <c r="Z10" s="256">
        <v>2.13</v>
      </c>
      <c r="AA10" s="237"/>
      <c r="AB10" s="228"/>
    </row>
    <row r="11" spans="1:28" ht="15.75" x14ac:dyDescent="0.25">
      <c r="B11" s="197"/>
      <c r="C11" s="198" t="s">
        <v>107</v>
      </c>
      <c r="D11" s="199"/>
      <c r="E11" s="199"/>
      <c r="F11" s="199"/>
      <c r="G11" s="200"/>
      <c r="H11" s="206" t="s">
        <v>111</v>
      </c>
      <c r="I11" s="209">
        <v>8.3916142014494195</v>
      </c>
      <c r="J11" s="231" t="s">
        <v>106</v>
      </c>
      <c r="K11" s="226"/>
      <c r="L11" s="240"/>
      <c r="M11" s="255" t="s">
        <v>133</v>
      </c>
      <c r="N11" s="256"/>
      <c r="O11" s="256">
        <v>3.68</v>
      </c>
      <c r="P11" s="256"/>
      <c r="Q11" s="256"/>
      <c r="R11" s="256">
        <v>3.23</v>
      </c>
      <c r="S11" s="256"/>
      <c r="T11" s="316">
        <v>3.23</v>
      </c>
      <c r="U11" s="316"/>
      <c r="V11" s="256">
        <v>2.36</v>
      </c>
      <c r="W11" s="262"/>
      <c r="X11" s="256">
        <v>2.13</v>
      </c>
      <c r="Y11" s="256">
        <v>2.13</v>
      </c>
      <c r="Z11" s="256">
        <v>2.13</v>
      </c>
      <c r="AA11" s="237"/>
      <c r="AB11" s="228"/>
    </row>
    <row r="12" spans="1:28" ht="15.75" x14ac:dyDescent="0.25">
      <c r="B12" s="197"/>
      <c r="C12" s="198"/>
      <c r="D12" s="199"/>
      <c r="E12" s="199"/>
      <c r="F12" s="199"/>
      <c r="G12" s="200"/>
      <c r="H12" s="206" t="s">
        <v>112</v>
      </c>
      <c r="I12" s="209">
        <v>106.1172314030661</v>
      </c>
      <c r="J12" s="232" t="s">
        <v>153</v>
      </c>
      <c r="K12" s="227"/>
      <c r="L12" s="240"/>
      <c r="M12" s="255" t="s">
        <v>134</v>
      </c>
      <c r="N12" s="256"/>
      <c r="O12" s="256">
        <v>4.95</v>
      </c>
      <c r="P12" s="256"/>
      <c r="Q12" s="256"/>
      <c r="R12" s="256">
        <v>9.0299999999999994</v>
      </c>
      <c r="S12" s="256"/>
      <c r="T12" s="316">
        <v>5.4</v>
      </c>
      <c r="U12" s="316"/>
      <c r="V12" s="256">
        <v>9.9</v>
      </c>
      <c r="W12" s="262"/>
      <c r="X12" s="256">
        <v>5.37</v>
      </c>
      <c r="Y12" s="256">
        <v>7.63</v>
      </c>
      <c r="Z12" s="256">
        <v>12.62</v>
      </c>
      <c r="AA12" s="237"/>
      <c r="AB12" s="228"/>
    </row>
    <row r="13" spans="1:28" ht="15.75" x14ac:dyDescent="0.25">
      <c r="B13" s="197"/>
      <c r="C13" s="198"/>
      <c r="D13" s="199"/>
      <c r="E13" s="199"/>
      <c r="F13" s="199"/>
      <c r="G13" s="200"/>
      <c r="H13" s="206" t="s">
        <v>151</v>
      </c>
      <c r="I13" s="209">
        <v>389.31341711229936</v>
      </c>
      <c r="J13" s="232" t="s">
        <v>154</v>
      </c>
      <c r="K13" s="227"/>
      <c r="L13" s="240"/>
      <c r="M13" s="255" t="s">
        <v>135</v>
      </c>
      <c r="N13" s="256"/>
      <c r="O13" s="256">
        <v>0.59</v>
      </c>
      <c r="P13" s="256"/>
      <c r="Q13" s="256"/>
      <c r="R13" s="256">
        <v>0.88</v>
      </c>
      <c r="S13" s="256"/>
      <c r="T13" s="316">
        <v>0.51</v>
      </c>
      <c r="U13" s="316"/>
      <c r="V13" s="256">
        <v>0.35</v>
      </c>
      <c r="W13" s="262"/>
      <c r="X13" s="256">
        <v>0.46</v>
      </c>
      <c r="Y13" s="256">
        <v>0.91</v>
      </c>
      <c r="Z13" s="256">
        <v>0.46</v>
      </c>
      <c r="AA13" s="237"/>
      <c r="AB13" s="228"/>
    </row>
    <row r="14" spans="1:28" ht="15.75" x14ac:dyDescent="0.25">
      <c r="B14" s="197"/>
      <c r="C14" s="198"/>
      <c r="D14" s="199"/>
      <c r="E14" s="199"/>
      <c r="F14" s="199"/>
      <c r="G14" s="200"/>
      <c r="H14" s="206" t="s">
        <v>152</v>
      </c>
      <c r="I14" s="209">
        <v>202.33004779411766</v>
      </c>
      <c r="J14" s="232" t="s">
        <v>154</v>
      </c>
      <c r="K14" s="227"/>
      <c r="L14" s="240"/>
      <c r="M14" s="255" t="s">
        <v>136</v>
      </c>
      <c r="N14" s="256"/>
      <c r="O14" s="257">
        <v>206.78</v>
      </c>
      <c r="P14" s="256"/>
      <c r="Q14" s="256"/>
      <c r="R14" s="256">
        <v>257.57</v>
      </c>
      <c r="S14" s="256"/>
      <c r="T14" s="316">
        <v>197.65</v>
      </c>
      <c r="U14" s="316"/>
      <c r="V14" s="256">
        <v>116.62</v>
      </c>
      <c r="W14" s="262"/>
      <c r="X14" s="256">
        <v>95.64</v>
      </c>
      <c r="Y14" s="256">
        <v>266.88</v>
      </c>
      <c r="Z14" s="256">
        <v>230.49</v>
      </c>
      <c r="AA14" s="237"/>
      <c r="AB14" s="228"/>
    </row>
    <row r="15" spans="1:28" ht="15.75" x14ac:dyDescent="0.25">
      <c r="B15" s="197"/>
      <c r="C15" s="198"/>
      <c r="D15" s="199"/>
      <c r="E15" s="199"/>
      <c r="F15" s="199"/>
      <c r="G15" s="200"/>
      <c r="H15" s="206"/>
      <c r="I15" s="224"/>
      <c r="J15" s="223"/>
      <c r="K15" s="225"/>
      <c r="L15" s="240"/>
      <c r="M15" s="255" t="s">
        <v>158</v>
      </c>
      <c r="N15" s="256"/>
      <c r="O15" s="256"/>
      <c r="P15" s="316">
        <v>464.36</v>
      </c>
      <c r="Q15" s="316"/>
      <c r="R15" s="256"/>
      <c r="S15" s="256"/>
      <c r="T15" s="256"/>
      <c r="U15" s="256">
        <v>314.27</v>
      </c>
      <c r="V15" s="256"/>
      <c r="W15" s="262"/>
      <c r="X15" s="256"/>
      <c r="Y15" s="256">
        <v>202.33</v>
      </c>
      <c r="Z15" s="256"/>
      <c r="AA15" s="237"/>
      <c r="AB15" s="228"/>
    </row>
    <row r="16" spans="1:28" ht="17.25" thickBot="1" x14ac:dyDescent="0.3">
      <c r="B16" s="201"/>
      <c r="C16" s="202"/>
      <c r="D16" s="202"/>
      <c r="E16" s="202"/>
      <c r="F16" s="202"/>
      <c r="G16" s="203"/>
      <c r="H16" s="157"/>
      <c r="I16" s="158"/>
      <c r="J16" s="159"/>
      <c r="L16" s="240"/>
      <c r="M16" s="255" t="s">
        <v>137</v>
      </c>
      <c r="N16" s="256"/>
      <c r="O16" s="256"/>
      <c r="P16" s="256"/>
      <c r="Q16" s="256"/>
      <c r="R16" s="256"/>
      <c r="S16" s="256">
        <v>389.31</v>
      </c>
      <c r="T16" s="256"/>
      <c r="U16" s="256"/>
      <c r="V16" s="256"/>
      <c r="W16" s="262"/>
      <c r="X16" s="256"/>
      <c r="Y16" s="256">
        <v>202.33</v>
      </c>
      <c r="Z16" s="256"/>
      <c r="AA16" s="237"/>
      <c r="AB16" s="228"/>
    </row>
    <row r="17" spans="6:27" ht="15.75" thickBot="1" x14ac:dyDescent="0.3">
      <c r="L17" s="258"/>
      <c r="M17" s="259"/>
      <c r="N17" s="259"/>
      <c r="O17" s="259"/>
      <c r="P17" s="259"/>
      <c r="Q17" s="259"/>
      <c r="R17" s="259"/>
      <c r="S17" s="259"/>
      <c r="T17" s="259"/>
      <c r="U17" s="259"/>
      <c r="V17" s="259"/>
      <c r="W17" s="259"/>
      <c r="X17" s="259"/>
      <c r="Y17" s="259"/>
      <c r="Z17" s="259"/>
      <c r="AA17" s="263"/>
    </row>
    <row r="18" spans="6:27" ht="15.75" thickBot="1" x14ac:dyDescent="0.3"/>
    <row r="19" spans="6:27" x14ac:dyDescent="0.25">
      <c r="F19" s="291" t="s">
        <v>183</v>
      </c>
      <c r="G19" s="335"/>
      <c r="H19" s="335"/>
      <c r="I19" s="335"/>
      <c r="J19" s="336"/>
    </row>
    <row r="20" spans="6:27" ht="15.75" thickBot="1" x14ac:dyDescent="0.3">
      <c r="F20" s="337"/>
      <c r="G20" s="338"/>
      <c r="H20" s="338"/>
      <c r="I20" s="338"/>
      <c r="J20" s="339"/>
    </row>
    <row r="21" spans="6:27" x14ac:dyDescent="0.25">
      <c r="F21" s="340"/>
      <c r="G21" s="341"/>
      <c r="H21" s="341"/>
      <c r="I21" s="341"/>
      <c r="J21" s="342"/>
    </row>
    <row r="22" spans="6:27" ht="16.5" x14ac:dyDescent="0.3">
      <c r="F22" s="271" t="s">
        <v>203</v>
      </c>
      <c r="G22" s="346" t="s">
        <v>221</v>
      </c>
      <c r="H22" s="346"/>
      <c r="I22" s="346"/>
      <c r="J22" s="273"/>
    </row>
    <row r="23" spans="6:27" x14ac:dyDescent="0.25">
      <c r="F23" s="268"/>
      <c r="G23" s="346" t="s">
        <v>222</v>
      </c>
      <c r="H23" s="346"/>
      <c r="I23" s="346"/>
      <c r="J23" s="273"/>
    </row>
    <row r="24" spans="6:27" x14ac:dyDescent="0.25">
      <c r="F24" s="268"/>
      <c r="G24" s="346" t="s">
        <v>223</v>
      </c>
      <c r="H24" s="346"/>
      <c r="I24" s="346"/>
      <c r="J24" s="273"/>
    </row>
    <row r="25" spans="6:27" x14ac:dyDescent="0.25">
      <c r="F25" s="268"/>
      <c r="G25" s="346" t="s">
        <v>224</v>
      </c>
      <c r="H25" s="346"/>
      <c r="I25" s="346"/>
      <c r="J25" s="273"/>
    </row>
    <row r="26" spans="6:27" x14ac:dyDescent="0.25">
      <c r="F26" s="268"/>
      <c r="G26" s="346" t="s">
        <v>225</v>
      </c>
      <c r="H26" s="346"/>
      <c r="I26" s="346"/>
      <c r="J26" s="273"/>
    </row>
    <row r="27" spans="6:27" x14ac:dyDescent="0.25">
      <c r="F27" s="268"/>
      <c r="G27" s="346" t="s">
        <v>226</v>
      </c>
      <c r="H27" s="346"/>
      <c r="I27" s="346"/>
      <c r="J27" s="273"/>
    </row>
    <row r="28" spans="6:27" x14ac:dyDescent="0.25">
      <c r="F28" s="268"/>
      <c r="G28" s="346" t="s">
        <v>227</v>
      </c>
      <c r="H28" s="346"/>
      <c r="I28" s="346"/>
      <c r="J28" s="273"/>
    </row>
    <row r="29" spans="6:27" x14ac:dyDescent="0.25">
      <c r="F29" s="268"/>
      <c r="G29" s="346" t="s">
        <v>228</v>
      </c>
      <c r="H29" s="346"/>
      <c r="I29" s="346"/>
      <c r="J29" s="273"/>
    </row>
    <row r="30" spans="6:27" x14ac:dyDescent="0.25">
      <c r="F30" s="268"/>
      <c r="G30" s="346"/>
      <c r="H30" s="346"/>
      <c r="I30" s="346"/>
      <c r="J30" s="273"/>
    </row>
    <row r="31" spans="6:27" ht="16.5" x14ac:dyDescent="0.3">
      <c r="F31" s="271" t="s">
        <v>177</v>
      </c>
      <c r="G31" s="346" t="s">
        <v>233</v>
      </c>
      <c r="H31" s="346"/>
      <c r="I31" s="346"/>
      <c r="J31" s="273"/>
    </row>
    <row r="32" spans="6:27" x14ac:dyDescent="0.25">
      <c r="F32" s="268"/>
      <c r="G32" s="346" t="s">
        <v>229</v>
      </c>
      <c r="H32" s="346"/>
      <c r="I32" s="346"/>
      <c r="J32" s="273"/>
    </row>
    <row r="33" spans="6:10" x14ac:dyDescent="0.25">
      <c r="F33" s="268"/>
      <c r="G33" s="346" t="s">
        <v>230</v>
      </c>
      <c r="H33" s="346"/>
      <c r="I33" s="346"/>
      <c r="J33" s="273"/>
    </row>
    <row r="34" spans="6:10" x14ac:dyDescent="0.25">
      <c r="F34" s="268"/>
      <c r="G34" s="346" t="s">
        <v>231</v>
      </c>
      <c r="H34" s="346"/>
      <c r="I34" s="346"/>
      <c r="J34" s="273"/>
    </row>
    <row r="35" spans="6:10" x14ac:dyDescent="0.25">
      <c r="F35" s="268"/>
      <c r="G35" s="346" t="s">
        <v>232</v>
      </c>
      <c r="H35" s="346"/>
      <c r="I35" s="346"/>
      <c r="J35" s="273"/>
    </row>
    <row r="36" spans="6:10" ht="15.75" thickBot="1" x14ac:dyDescent="0.3">
      <c r="F36" s="274"/>
      <c r="G36" s="277"/>
      <c r="H36" s="277"/>
      <c r="I36" s="277"/>
      <c r="J36" s="278"/>
    </row>
  </sheetData>
  <mergeCells count="7">
    <mergeCell ref="F19:J20"/>
    <mergeCell ref="T12:U12"/>
    <mergeCell ref="T13:U13"/>
    <mergeCell ref="T14:U14"/>
    <mergeCell ref="P15:Q15"/>
    <mergeCell ref="T9:U9"/>
    <mergeCell ref="T11:U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Option Button 1">
              <controlPr defaultSize="0" autoFill="0" autoLine="0" autoPict="0">
                <anchor moveWithCells="1">
                  <from>
                    <xdr:col>5</xdr:col>
                    <xdr:colOff>657225</xdr:colOff>
                    <xdr:row>3</xdr:row>
                    <xdr:rowOff>9525</xdr:rowOff>
                  </from>
                  <to>
                    <xdr:col>6</xdr:col>
                    <xdr:colOff>114300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Option Button 2">
              <controlPr defaultSize="0" autoFill="0" autoLine="0" autoPict="0">
                <anchor moveWithCells="1">
                  <from>
                    <xdr:col>5</xdr:col>
                    <xdr:colOff>609600</xdr:colOff>
                    <xdr:row>10</xdr:row>
                    <xdr:rowOff>0</xdr:rowOff>
                  </from>
                  <to>
                    <xdr:col>6</xdr:col>
                    <xdr:colOff>76200</xdr:colOff>
                    <xdr:row>11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AASHTOCalculations">
                <anchor moveWithCells="1" sizeWithCells="1">
                  <from>
                    <xdr:col>1</xdr:col>
                    <xdr:colOff>161925</xdr:colOff>
                    <xdr:row>17</xdr:row>
                    <xdr:rowOff>47625</xdr:rowOff>
                  </from>
                  <to>
                    <xdr:col>3</xdr:col>
                    <xdr:colOff>314325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AASHTOWO_Clear">
                <anchor moveWithCells="1" sizeWithCells="1">
                  <from>
                    <xdr:col>8</xdr:col>
                    <xdr:colOff>152400</xdr:colOff>
                    <xdr:row>7</xdr:row>
                    <xdr:rowOff>76200</xdr:rowOff>
                  </from>
                  <to>
                    <xdr:col>8</xdr:col>
                    <xdr:colOff>800100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AASHTOWR_Clear">
                <anchor moveWithCells="1" sizeWithCells="1">
                  <from>
                    <xdr:col>8</xdr:col>
                    <xdr:colOff>171450</xdr:colOff>
                    <xdr:row>14</xdr:row>
                    <xdr:rowOff>66675</xdr:rowOff>
                  </from>
                  <to>
                    <xdr:col>8</xdr:col>
                    <xdr:colOff>819150</xdr:colOff>
                    <xdr:row>15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88FB5-D682-4C01-9B18-2F480F0BB720}">
  <sheetPr codeName="Sheet5"/>
  <dimension ref="B2:R96"/>
  <sheetViews>
    <sheetView topLeftCell="B1" workbookViewId="0">
      <selection activeCell="G12" sqref="G12"/>
    </sheetView>
  </sheetViews>
  <sheetFormatPr defaultRowHeight="15" x14ac:dyDescent="0.25"/>
  <cols>
    <col min="1" max="12" width="9.140625" style="1"/>
    <col min="13" max="13" width="12.7109375" style="1" customWidth="1"/>
    <col min="14" max="16384" width="9.140625" style="1"/>
  </cols>
  <sheetData>
    <row r="2" spans="2:18" ht="15.75" thickBot="1" x14ac:dyDescent="0.3"/>
    <row r="3" spans="2:18" ht="26.25" customHeight="1" x14ac:dyDescent="0.25">
      <c r="B3" s="166"/>
      <c r="C3" s="167" t="s">
        <v>103</v>
      </c>
      <c r="D3" s="168"/>
      <c r="E3" s="169"/>
      <c r="F3" s="170"/>
      <c r="G3" s="170"/>
      <c r="H3" s="171"/>
      <c r="I3" s="170"/>
      <c r="J3" s="170"/>
      <c r="K3" s="172"/>
      <c r="M3" s="350" t="s">
        <v>183</v>
      </c>
      <c r="N3" s="351"/>
      <c r="O3" s="351"/>
      <c r="P3" s="351"/>
      <c r="Q3" s="351"/>
      <c r="R3" s="352"/>
    </row>
    <row r="4" spans="2:18" ht="25.5" customHeight="1" thickBot="1" x14ac:dyDescent="0.3">
      <c r="B4" s="173"/>
      <c r="C4" s="174"/>
      <c r="D4" s="175"/>
      <c r="E4" s="176"/>
      <c r="F4" s="177"/>
      <c r="G4" s="178"/>
      <c r="H4" s="177"/>
      <c r="I4" s="177"/>
      <c r="J4" s="177"/>
      <c r="K4" s="179"/>
      <c r="M4" s="353"/>
      <c r="N4" s="354"/>
      <c r="O4" s="354"/>
      <c r="P4" s="354"/>
      <c r="Q4" s="354"/>
      <c r="R4" s="355"/>
    </row>
    <row r="5" spans="2:18" ht="19.5" x14ac:dyDescent="0.25">
      <c r="B5" s="180"/>
      <c r="C5" s="181" t="s">
        <v>234</v>
      </c>
      <c r="D5" s="182"/>
      <c r="E5" s="177"/>
      <c r="F5" s="177"/>
      <c r="G5" s="178"/>
      <c r="H5" s="177"/>
      <c r="I5" s="177"/>
      <c r="J5" s="177"/>
      <c r="K5" s="179"/>
      <c r="M5" s="340"/>
      <c r="N5" s="341"/>
      <c r="O5" s="341"/>
      <c r="P5" s="341"/>
      <c r="Q5" s="341"/>
      <c r="R5" s="342"/>
    </row>
    <row r="6" spans="2:18" ht="16.5" x14ac:dyDescent="0.3">
      <c r="B6" s="183">
        <v>1</v>
      </c>
      <c r="C6" s="189">
        <v>1932.7734065256805</v>
      </c>
      <c r="D6" s="177"/>
      <c r="E6" s="177"/>
      <c r="F6" s="177"/>
      <c r="G6" s="184" t="s">
        <v>104</v>
      </c>
      <c r="H6" s="190">
        <v>40</v>
      </c>
      <c r="I6" s="349" t="s">
        <v>238</v>
      </c>
      <c r="J6" s="177"/>
      <c r="K6" s="179"/>
      <c r="M6" s="345" t="s">
        <v>203</v>
      </c>
      <c r="N6" s="346" t="s">
        <v>239</v>
      </c>
      <c r="O6" s="346"/>
      <c r="P6" s="346"/>
      <c r="Q6" s="346"/>
      <c r="R6" s="273"/>
    </row>
    <row r="7" spans="2:18" x14ac:dyDescent="0.25">
      <c r="B7" s="183">
        <v>2</v>
      </c>
      <c r="C7" s="189">
        <v>967.36649420379695</v>
      </c>
      <c r="D7" s="177"/>
      <c r="E7" s="177"/>
      <c r="F7" s="177"/>
      <c r="G7" s="184" t="s">
        <v>235</v>
      </c>
      <c r="H7" s="190">
        <v>81.003899968208685</v>
      </c>
      <c r="I7" s="347" t="s">
        <v>236</v>
      </c>
      <c r="J7" s="348"/>
      <c r="K7" s="179"/>
      <c r="M7" s="268"/>
      <c r="N7" s="346" t="s">
        <v>240</v>
      </c>
      <c r="O7" s="346"/>
      <c r="P7" s="346"/>
      <c r="Q7" s="346"/>
      <c r="R7" s="273"/>
    </row>
    <row r="8" spans="2:18" x14ac:dyDescent="0.25">
      <c r="B8" s="183">
        <v>3</v>
      </c>
      <c r="C8" s="189">
        <v>646.00075093753901</v>
      </c>
      <c r="D8" s="177"/>
      <c r="E8" s="177"/>
      <c r="F8" s="177"/>
      <c r="G8" s="184" t="s">
        <v>116</v>
      </c>
      <c r="H8" s="190">
        <v>76.272229926029439</v>
      </c>
      <c r="I8" s="349" t="s">
        <v>237</v>
      </c>
      <c r="J8" s="177"/>
      <c r="K8" s="179"/>
      <c r="M8" s="268"/>
      <c r="N8" s="346" t="s">
        <v>241</v>
      </c>
      <c r="O8" s="346"/>
      <c r="P8" s="346"/>
      <c r="Q8" s="346"/>
      <c r="R8" s="273"/>
    </row>
    <row r="9" spans="2:18" x14ac:dyDescent="0.25">
      <c r="B9" s="183">
        <v>4</v>
      </c>
      <c r="C9" s="189">
        <v>485.64653869534948</v>
      </c>
      <c r="D9" s="177"/>
      <c r="E9" s="177"/>
      <c r="F9" s="177"/>
      <c r="G9" s="177"/>
      <c r="H9" s="177"/>
      <c r="I9" s="177"/>
      <c r="J9" s="177"/>
      <c r="K9" s="179"/>
      <c r="M9" s="268"/>
      <c r="N9" s="346" t="s">
        <v>242</v>
      </c>
      <c r="O9" s="346"/>
      <c r="P9" s="346"/>
      <c r="Q9" s="346"/>
      <c r="R9" s="273"/>
    </row>
    <row r="10" spans="2:18" ht="16.5" x14ac:dyDescent="0.25">
      <c r="B10" s="183">
        <v>5</v>
      </c>
      <c r="C10" s="189">
        <v>389.69833154820265</v>
      </c>
      <c r="D10" s="177"/>
      <c r="E10" s="177"/>
      <c r="F10" s="177"/>
      <c r="G10" s="178"/>
      <c r="H10" s="177"/>
      <c r="I10" s="177"/>
      <c r="J10" s="177"/>
      <c r="K10" s="179"/>
      <c r="M10" s="268"/>
      <c r="N10" s="346"/>
      <c r="O10" s="346"/>
      <c r="P10" s="346"/>
      <c r="Q10" s="346"/>
      <c r="R10" s="273"/>
    </row>
    <row r="11" spans="2:18" ht="16.5" x14ac:dyDescent="0.3">
      <c r="B11" s="183">
        <v>6</v>
      </c>
      <c r="C11" s="189">
        <v>325.95462668273723</v>
      </c>
      <c r="D11" s="177"/>
      <c r="E11" s="177"/>
      <c r="F11" s="177"/>
      <c r="G11" s="177"/>
      <c r="H11" s="177"/>
      <c r="I11" s="177"/>
      <c r="J11" s="177"/>
      <c r="K11" s="179"/>
      <c r="M11" s="345" t="s">
        <v>177</v>
      </c>
      <c r="N11" s="346" t="s">
        <v>243</v>
      </c>
      <c r="O11" s="346"/>
      <c r="P11" s="346"/>
      <c r="Q11" s="346"/>
      <c r="R11" s="273"/>
    </row>
    <row r="12" spans="2:18" x14ac:dyDescent="0.25">
      <c r="B12" s="183">
        <v>7</v>
      </c>
      <c r="C12" s="189">
        <v>280.61507567691359</v>
      </c>
      <c r="D12" s="177"/>
      <c r="E12" s="177"/>
      <c r="F12" s="177"/>
      <c r="G12" s="356"/>
      <c r="H12" s="177"/>
      <c r="I12" s="177"/>
      <c r="J12" s="177"/>
      <c r="K12" s="179"/>
      <c r="M12" s="268"/>
      <c r="N12" s="346" t="s">
        <v>244</v>
      </c>
      <c r="O12" s="346"/>
      <c r="P12" s="346"/>
      <c r="Q12" s="346"/>
      <c r="R12" s="273"/>
    </row>
    <row r="13" spans="2:18" x14ac:dyDescent="0.25">
      <c r="B13" s="183">
        <v>8</v>
      </c>
      <c r="C13" s="189">
        <v>246.77976833899717</v>
      </c>
      <c r="D13" s="177"/>
      <c r="E13" s="177"/>
      <c r="F13" s="177"/>
      <c r="G13" s="177"/>
      <c r="H13" s="177"/>
      <c r="I13" s="177"/>
      <c r="J13" s="177"/>
      <c r="K13" s="179"/>
      <c r="M13" s="268"/>
      <c r="N13" s="346" t="s">
        <v>245</v>
      </c>
      <c r="O13" s="346"/>
      <c r="P13" s="346"/>
      <c r="Q13" s="346"/>
      <c r="R13" s="273"/>
    </row>
    <row r="14" spans="2:18" x14ac:dyDescent="0.25">
      <c r="B14" s="183">
        <v>9</v>
      </c>
      <c r="C14" s="189">
        <v>220.61566159438257</v>
      </c>
      <c r="D14" s="177"/>
      <c r="E14" s="177"/>
      <c r="F14" s="177"/>
      <c r="G14" s="177"/>
      <c r="H14" s="177"/>
      <c r="I14" s="177"/>
      <c r="J14" s="177"/>
      <c r="K14" s="179"/>
      <c r="M14" s="268"/>
      <c r="N14" s="346" t="s">
        <v>246</v>
      </c>
      <c r="O14" s="346"/>
      <c r="P14" s="346"/>
      <c r="Q14" s="346"/>
      <c r="R14" s="273"/>
    </row>
    <row r="15" spans="2:18" x14ac:dyDescent="0.25">
      <c r="B15" s="183">
        <v>10</v>
      </c>
      <c r="C15" s="189">
        <v>199.82315192348932</v>
      </c>
      <c r="D15" s="177"/>
      <c r="E15" s="177"/>
      <c r="F15" s="177"/>
      <c r="G15" s="177"/>
      <c r="H15" s="177"/>
      <c r="I15" s="177"/>
      <c r="J15" s="177"/>
      <c r="K15" s="179"/>
      <c r="M15" s="268"/>
      <c r="N15" s="346" t="s">
        <v>247</v>
      </c>
      <c r="O15" s="346"/>
      <c r="P15" s="346"/>
      <c r="Q15" s="346"/>
      <c r="R15" s="273"/>
    </row>
    <row r="16" spans="2:18" x14ac:dyDescent="0.25">
      <c r="B16" s="183">
        <v>11</v>
      </c>
      <c r="C16" s="189">
        <v>182.93906367593107</v>
      </c>
      <c r="D16" s="177"/>
      <c r="E16" s="177"/>
      <c r="F16" s="177"/>
      <c r="G16" s="177"/>
      <c r="H16" s="177"/>
      <c r="I16" s="177"/>
      <c r="J16" s="177"/>
      <c r="K16" s="179"/>
      <c r="M16" s="268"/>
      <c r="N16" s="346" t="s">
        <v>248</v>
      </c>
      <c r="O16" s="346"/>
      <c r="P16" s="346"/>
      <c r="Q16" s="346"/>
      <c r="R16" s="273"/>
    </row>
    <row r="17" spans="2:18" ht="15.75" thickBot="1" x14ac:dyDescent="0.3">
      <c r="B17" s="183">
        <v>12</v>
      </c>
      <c r="C17" s="189">
        <v>168.98814404207945</v>
      </c>
      <c r="D17" s="177"/>
      <c r="E17" s="177"/>
      <c r="F17" s="177"/>
      <c r="G17" s="177"/>
      <c r="H17" s="177"/>
      <c r="I17" s="177"/>
      <c r="J17" s="177"/>
      <c r="K17" s="179"/>
      <c r="M17" s="274"/>
      <c r="N17" s="275"/>
      <c r="O17" s="275"/>
      <c r="P17" s="275"/>
      <c r="Q17" s="275"/>
      <c r="R17" s="276"/>
    </row>
    <row r="18" spans="2:18" x14ac:dyDescent="0.25">
      <c r="B18" s="183">
        <v>13</v>
      </c>
      <c r="C18" s="189">
        <v>157.29540729619464</v>
      </c>
      <c r="D18" s="177"/>
      <c r="E18" s="177"/>
      <c r="F18" s="177"/>
      <c r="G18" s="177"/>
      <c r="H18" s="177"/>
      <c r="I18" s="177"/>
      <c r="J18" s="177"/>
      <c r="K18" s="179"/>
    </row>
    <row r="19" spans="2:18" x14ac:dyDescent="0.25">
      <c r="B19" s="183">
        <v>14</v>
      </c>
      <c r="C19" s="189">
        <v>147.37890372331805</v>
      </c>
      <c r="D19" s="177"/>
      <c r="E19" s="177"/>
      <c r="F19" s="177"/>
      <c r="G19" s="177"/>
      <c r="H19" s="177"/>
      <c r="I19" s="177"/>
      <c r="J19" s="177"/>
      <c r="K19" s="179"/>
    </row>
    <row r="20" spans="2:18" x14ac:dyDescent="0.25">
      <c r="B20" s="183">
        <v>15</v>
      </c>
      <c r="C20" s="189">
        <v>138.88538176187836</v>
      </c>
      <c r="D20" s="177"/>
      <c r="E20" s="177"/>
      <c r="F20" s="177"/>
      <c r="G20" s="177"/>
      <c r="H20" s="177"/>
      <c r="I20" s="177"/>
      <c r="J20" s="177"/>
      <c r="K20" s="179"/>
    </row>
    <row r="21" spans="2:18" x14ac:dyDescent="0.25">
      <c r="B21" s="183">
        <v>16</v>
      </c>
      <c r="C21" s="189">
        <v>131.5500776344505</v>
      </c>
      <c r="D21" s="177"/>
      <c r="E21" s="177"/>
      <c r="F21" s="177"/>
      <c r="G21" s="177"/>
      <c r="H21" s="177"/>
      <c r="I21" s="177"/>
      <c r="J21" s="177"/>
      <c r="K21" s="179"/>
    </row>
    <row r="22" spans="2:18" x14ac:dyDescent="0.25">
      <c r="B22" s="183">
        <v>17</v>
      </c>
      <c r="C22" s="189">
        <v>125.17069767645619</v>
      </c>
      <c r="D22" s="177"/>
      <c r="E22" s="177"/>
      <c r="F22" s="177"/>
      <c r="G22" s="177"/>
      <c r="H22" s="177"/>
      <c r="I22" s="177"/>
      <c r="J22" s="177"/>
      <c r="K22" s="179"/>
    </row>
    <row r="23" spans="2:18" x14ac:dyDescent="0.25">
      <c r="B23" s="183">
        <v>18</v>
      </c>
      <c r="C23" s="189">
        <v>119.59007404197249</v>
      </c>
      <c r="D23" s="177"/>
      <c r="E23" s="177"/>
      <c r="F23" s="177"/>
      <c r="G23" s="177"/>
      <c r="H23" s="177"/>
      <c r="I23" s="177"/>
      <c r="J23" s="177"/>
      <c r="K23" s="179"/>
    </row>
    <row r="24" spans="2:18" x14ac:dyDescent="0.25">
      <c r="B24" s="183">
        <v>19</v>
      </c>
      <c r="C24" s="189">
        <v>114.68429839783813</v>
      </c>
      <c r="D24" s="177"/>
      <c r="E24" s="177"/>
      <c r="F24" s="177"/>
      <c r="G24" s="177"/>
      <c r="H24" s="177"/>
      <c r="I24" s="177"/>
      <c r="J24" s="177"/>
      <c r="K24" s="179"/>
    </row>
    <row r="25" spans="2:18" x14ac:dyDescent="0.25">
      <c r="B25" s="183">
        <v>20</v>
      </c>
      <c r="C25" s="189">
        <v>110.35441638070502</v>
      </c>
      <c r="D25" s="177"/>
      <c r="E25" s="177"/>
      <c r="F25" s="177"/>
      <c r="G25" s="177"/>
      <c r="H25" s="177"/>
      <c r="I25" s="177"/>
      <c r="J25" s="177"/>
      <c r="K25" s="179"/>
    </row>
    <row r="26" spans="2:18" x14ac:dyDescent="0.25">
      <c r="B26" s="183">
        <v>21</v>
      </c>
      <c r="C26" s="189">
        <v>106.52049597172231</v>
      </c>
      <c r="D26" s="177"/>
      <c r="E26" s="177"/>
      <c r="F26" s="177"/>
      <c r="G26" s="177"/>
      <c r="H26" s="177"/>
      <c r="I26" s="177"/>
      <c r="J26" s="177"/>
      <c r="K26" s="179"/>
    </row>
    <row r="27" spans="2:18" x14ac:dyDescent="0.25">
      <c r="B27" s="183">
        <v>22</v>
      </c>
      <c r="C27" s="189">
        <v>103.11731453277072</v>
      </c>
      <c r="D27" s="177"/>
      <c r="E27" s="177"/>
      <c r="F27" s="177"/>
      <c r="G27" s="177"/>
      <c r="H27" s="177"/>
      <c r="I27" s="177"/>
      <c r="J27" s="177"/>
      <c r="K27" s="179"/>
    </row>
    <row r="28" spans="2:18" x14ac:dyDescent="0.25">
      <c r="B28" s="183">
        <v>23</v>
      </c>
      <c r="C28" s="189">
        <v>100.09117195577156</v>
      </c>
      <c r="D28" s="177"/>
      <c r="E28" s="177"/>
      <c r="F28" s="177"/>
      <c r="G28" s="177"/>
      <c r="H28" s="177"/>
      <c r="I28" s="177"/>
      <c r="J28" s="177"/>
      <c r="K28" s="179"/>
    </row>
    <row r="29" spans="2:18" x14ac:dyDescent="0.25">
      <c r="B29" s="183">
        <v>24</v>
      </c>
      <c r="C29" s="189">
        <v>97.397501570098257</v>
      </c>
      <c r="D29" s="177"/>
      <c r="E29" s="177"/>
      <c r="F29" s="177"/>
      <c r="G29" s="177"/>
      <c r="H29" s="177"/>
      <c r="I29" s="177"/>
      <c r="J29" s="177"/>
      <c r="K29" s="179"/>
    </row>
    <row r="30" spans="2:18" x14ac:dyDescent="0.25">
      <c r="B30" s="183">
        <v>25</v>
      </c>
      <c r="C30" s="189">
        <v>94.999055538341082</v>
      </c>
      <c r="D30" s="177"/>
      <c r="E30" s="177"/>
      <c r="F30" s="177"/>
      <c r="G30" s="177"/>
      <c r="H30" s="177"/>
      <c r="I30" s="177"/>
      <c r="J30" s="177"/>
      <c r="K30" s="179"/>
    </row>
    <row r="31" spans="2:18" x14ac:dyDescent="0.25">
      <c r="B31" s="183">
        <v>26</v>
      </c>
      <c r="C31" s="189">
        <v>92.864510181785491</v>
      </c>
      <c r="D31" s="177"/>
      <c r="E31" s="177"/>
      <c r="F31" s="177"/>
      <c r="G31" s="177"/>
      <c r="H31" s="177"/>
      <c r="I31" s="177"/>
      <c r="J31" s="177"/>
      <c r="K31" s="179"/>
    </row>
    <row r="32" spans="2:18" x14ac:dyDescent="0.25">
      <c r="B32" s="183">
        <v>27</v>
      </c>
      <c r="C32" s="189">
        <v>90.967382486092731</v>
      </c>
      <c r="D32" s="177"/>
      <c r="E32" s="177"/>
      <c r="F32" s="177"/>
      <c r="G32" s="177"/>
      <c r="H32" s="177"/>
      <c r="I32" s="177"/>
      <c r="J32" s="177"/>
      <c r="K32" s="179"/>
    </row>
    <row r="33" spans="2:11" x14ac:dyDescent="0.25">
      <c r="B33" s="183">
        <v>28</v>
      </c>
      <c r="C33" s="189">
        <v>89.285180124367542</v>
      </c>
      <c r="D33" s="177"/>
      <c r="E33" s="177"/>
      <c r="F33" s="177"/>
      <c r="G33" s="177"/>
      <c r="H33" s="177"/>
      <c r="I33" s="177"/>
      <c r="J33" s="177"/>
      <c r="K33" s="179"/>
    </row>
    <row r="34" spans="2:11" x14ac:dyDescent="0.25">
      <c r="B34" s="183">
        <v>29</v>
      </c>
      <c r="C34" s="189">
        <v>87.798728776069467</v>
      </c>
      <c r="D34" s="177"/>
      <c r="E34" s="177"/>
      <c r="F34" s="177"/>
      <c r="G34" s="177"/>
      <c r="H34" s="177"/>
      <c r="I34" s="177"/>
      <c r="J34" s="177"/>
      <c r="K34" s="179"/>
    </row>
    <row r="35" spans="2:11" x14ac:dyDescent="0.25">
      <c r="B35" s="183">
        <v>30</v>
      </c>
      <c r="C35" s="189">
        <v>86.491635531566999</v>
      </c>
      <c r="D35" s="177"/>
      <c r="E35" s="177"/>
      <c r="F35" s="177"/>
      <c r="G35" s="177"/>
      <c r="H35" s="177"/>
      <c r="I35" s="177"/>
      <c r="J35" s="177"/>
      <c r="K35" s="179"/>
    </row>
    <row r="36" spans="2:11" x14ac:dyDescent="0.25">
      <c r="B36" s="183">
        <v>31</v>
      </c>
      <c r="C36" s="189">
        <v>85.349857828119156</v>
      </c>
      <c r="D36" s="177"/>
      <c r="E36" s="177"/>
      <c r="F36" s="177"/>
      <c r="G36" s="177"/>
      <c r="H36" s="177"/>
      <c r="I36" s="177"/>
      <c r="J36" s="177"/>
      <c r="K36" s="179"/>
    </row>
    <row r="37" spans="2:11" x14ac:dyDescent="0.25">
      <c r="B37" s="183">
        <v>32</v>
      </c>
      <c r="C37" s="189">
        <v>84.361355025214849</v>
      </c>
      <c r="D37" s="177"/>
      <c r="E37" s="177"/>
      <c r="F37" s="177"/>
      <c r="G37" s="177"/>
      <c r="H37" s="177"/>
      <c r="I37" s="177"/>
      <c r="J37" s="177"/>
      <c r="K37" s="179"/>
    </row>
    <row r="38" spans="2:11" x14ac:dyDescent="0.25">
      <c r="B38" s="183">
        <v>33</v>
      </c>
      <c r="C38" s="189">
        <v>83.515805303264557</v>
      </c>
      <c r="D38" s="177"/>
      <c r="E38" s="177"/>
      <c r="F38" s="177"/>
      <c r="G38" s="177"/>
      <c r="H38" s="177"/>
      <c r="I38" s="177"/>
      <c r="J38" s="177"/>
      <c r="K38" s="179"/>
    </row>
    <row r="39" spans="2:11" x14ac:dyDescent="0.25">
      <c r="B39" s="183">
        <v>34</v>
      </c>
      <c r="C39" s="189">
        <v>82.804374673805384</v>
      </c>
      <c r="D39" s="177"/>
      <c r="E39" s="177"/>
      <c r="F39" s="177"/>
      <c r="G39" s="177"/>
      <c r="H39" s="177"/>
      <c r="I39" s="177"/>
      <c r="J39" s="177"/>
      <c r="K39" s="179"/>
    </row>
    <row r="40" spans="2:11" x14ac:dyDescent="0.25">
      <c r="B40" s="183">
        <v>35</v>
      </c>
      <c r="C40" s="189">
        <v>82.219527942913132</v>
      </c>
      <c r="D40" s="177"/>
      <c r="E40" s="177"/>
      <c r="F40" s="177"/>
      <c r="G40" s="177"/>
      <c r="H40" s="177"/>
      <c r="I40" s="177"/>
      <c r="J40" s="177"/>
      <c r="K40" s="179"/>
    </row>
    <row r="41" spans="2:11" x14ac:dyDescent="0.25">
      <c r="B41" s="183">
        <v>36</v>
      </c>
      <c r="C41" s="189">
        <v>81.754873765114212</v>
      </c>
      <c r="D41" s="177"/>
      <c r="E41" s="177"/>
      <c r="F41" s="177"/>
      <c r="G41" s="177"/>
      <c r="H41" s="177"/>
      <c r="I41" s="177"/>
      <c r="J41" s="177"/>
      <c r="K41" s="179"/>
    </row>
    <row r="42" spans="2:11" x14ac:dyDescent="0.25">
      <c r="B42" s="183">
        <v>37</v>
      </c>
      <c r="C42" s="189">
        <v>81.405037668600727</v>
      </c>
      <c r="D42" s="177"/>
      <c r="E42" s="177"/>
      <c r="F42" s="177"/>
      <c r="G42" s="177"/>
      <c r="H42" s="177"/>
      <c r="I42" s="177"/>
      <c r="J42" s="177"/>
      <c r="K42" s="179"/>
    </row>
    <row r="43" spans="2:11" x14ac:dyDescent="0.25">
      <c r="B43" s="183">
        <v>38</v>
      </c>
      <c r="C43" s="189">
        <v>81.165558270442205</v>
      </c>
      <c r="D43" s="177"/>
      <c r="E43" s="177"/>
      <c r="F43" s="177"/>
      <c r="G43" s="177"/>
      <c r="H43" s="177"/>
      <c r="I43" s="177"/>
      <c r="J43" s="177"/>
      <c r="K43" s="179"/>
    </row>
    <row r="44" spans="2:11" x14ac:dyDescent="0.25">
      <c r="B44" s="183">
        <v>39</v>
      </c>
      <c r="C44" s="189">
        <v>81.032802938160316</v>
      </c>
      <c r="D44" s="177"/>
      <c r="E44" s="177"/>
      <c r="F44" s="177"/>
      <c r="G44" s="177"/>
      <c r="H44" s="177"/>
      <c r="I44" s="177"/>
      <c r="J44" s="177"/>
      <c r="K44" s="179"/>
    </row>
    <row r="45" spans="2:11" x14ac:dyDescent="0.25">
      <c r="B45" s="183">
        <v>40</v>
      </c>
      <c r="C45" s="189">
        <v>81.003899968208685</v>
      </c>
      <c r="D45" s="177"/>
      <c r="E45" s="177"/>
      <c r="F45" s="177"/>
      <c r="G45" s="177"/>
      <c r="H45" s="177"/>
      <c r="I45" s="177"/>
      <c r="J45" s="177"/>
      <c r="K45" s="179"/>
    </row>
    <row r="46" spans="2:11" x14ac:dyDescent="0.25">
      <c r="B46" s="183">
        <v>41</v>
      </c>
      <c r="C46" s="189">
        <v>81.07668499907345</v>
      </c>
      <c r="D46" s="177"/>
      <c r="E46" s="177"/>
      <c r="F46" s="177"/>
      <c r="G46" s="177"/>
      <c r="H46" s="177"/>
      <c r="I46" s="177"/>
      <c r="J46" s="177"/>
      <c r="K46" s="179"/>
    </row>
    <row r="47" spans="2:11" x14ac:dyDescent="0.25">
      <c r="B47" s="183">
        <v>42</v>
      </c>
      <c r="C47" s="189">
        <v>81.249659899032977</v>
      </c>
      <c r="D47" s="177"/>
      <c r="E47" s="177"/>
      <c r="F47" s="177"/>
      <c r="G47" s="177"/>
      <c r="H47" s="177"/>
      <c r="I47" s="177"/>
      <c r="J47" s="177"/>
      <c r="K47" s="179"/>
    </row>
    <row r="48" spans="2:11" x14ac:dyDescent="0.25">
      <c r="B48" s="183">
        <v>43</v>
      </c>
      <c r="C48" s="189">
        <v>81.521962797992657</v>
      </c>
      <c r="D48" s="177"/>
      <c r="E48" s="177"/>
      <c r="F48" s="177"/>
      <c r="G48" s="177"/>
      <c r="H48" s="177"/>
      <c r="I48" s="177"/>
      <c r="J48" s="177"/>
      <c r="K48" s="179"/>
    </row>
    <row r="49" spans="2:11" x14ac:dyDescent="0.25">
      <c r="B49" s="183">
        <v>44</v>
      </c>
      <c r="C49" s="189">
        <v>81.893348293849897</v>
      </c>
      <c r="D49" s="177"/>
      <c r="E49" s="177"/>
      <c r="F49" s="177"/>
      <c r="G49" s="177"/>
      <c r="H49" s="177"/>
      <c r="I49" s="177"/>
      <c r="J49" s="177"/>
      <c r="K49" s="179"/>
    </row>
    <row r="50" spans="2:11" x14ac:dyDescent="0.25">
      <c r="B50" s="183">
        <v>45</v>
      </c>
      <c r="C50" s="189">
        <v>82.364177175965025</v>
      </c>
      <c r="D50" s="177"/>
      <c r="E50" s="177"/>
      <c r="F50" s="177"/>
      <c r="G50" s="177"/>
      <c r="H50" s="177"/>
      <c r="I50" s="177"/>
      <c r="J50" s="177"/>
      <c r="K50" s="179"/>
    </row>
    <row r="51" spans="2:11" x14ac:dyDescent="0.25">
      <c r="B51" s="183">
        <v>46</v>
      </c>
      <c r="C51" s="189">
        <v>82.935415287329661</v>
      </c>
      <c r="D51" s="177"/>
      <c r="E51" s="177"/>
      <c r="F51" s="177"/>
      <c r="G51" s="177"/>
      <c r="H51" s="177"/>
      <c r="I51" s="177"/>
      <c r="J51" s="177"/>
      <c r="K51" s="179"/>
    </row>
    <row r="52" spans="2:11" x14ac:dyDescent="0.25">
      <c r="B52" s="183">
        <v>47</v>
      </c>
      <c r="C52" s="189">
        <v>83.60864140634402</v>
      </c>
      <c r="D52" s="177"/>
      <c r="E52" s="177"/>
      <c r="F52" s="177"/>
      <c r="G52" s="177"/>
      <c r="H52" s="177"/>
      <c r="I52" s="177"/>
      <c r="J52" s="177"/>
      <c r="K52" s="179"/>
    </row>
    <row r="53" spans="2:11" x14ac:dyDescent="0.25">
      <c r="B53" s="183">
        <v>48</v>
      </c>
      <c r="C53" s="189">
        <v>84.386064280705497</v>
      </c>
      <c r="D53" s="177"/>
      <c r="E53" s="177"/>
      <c r="F53" s="177"/>
      <c r="G53" s="177"/>
      <c r="H53" s="177"/>
      <c r="I53" s="177"/>
      <c r="J53" s="177"/>
      <c r="K53" s="179"/>
    </row>
    <row r="54" spans="2:11" x14ac:dyDescent="0.25">
      <c r="B54" s="183">
        <v>49</v>
      </c>
      <c r="C54" s="189">
        <v>85.270549201122805</v>
      </c>
      <c r="D54" s="177"/>
      <c r="E54" s="177"/>
      <c r="F54" s="177"/>
      <c r="G54" s="177"/>
      <c r="H54" s="177"/>
      <c r="I54" s="177"/>
      <c r="J54" s="177"/>
      <c r="K54" s="179"/>
    </row>
    <row r="55" spans="2:11" x14ac:dyDescent="0.25">
      <c r="B55" s="183">
        <v>50</v>
      </c>
      <c r="C55" s="189">
        <v>86.265654772886066</v>
      </c>
      <c r="D55" s="177"/>
      <c r="E55" s="177"/>
      <c r="F55" s="177"/>
      <c r="G55" s="177"/>
      <c r="H55" s="177"/>
      <c r="I55" s="177"/>
      <c r="J55" s="177"/>
      <c r="K55" s="179"/>
    </row>
    <row r="56" spans="2:11" x14ac:dyDescent="0.25">
      <c r="B56" s="183">
        <v>51</v>
      </c>
      <c r="C56" s="189">
        <v>87.375680841129196</v>
      </c>
      <c r="D56" s="177"/>
      <c r="E56" s="177"/>
      <c r="F56" s="177"/>
      <c r="G56" s="177"/>
      <c r="H56" s="177"/>
      <c r="I56" s="177"/>
      <c r="J56" s="177"/>
      <c r="K56" s="179"/>
    </row>
    <row r="57" spans="2:11" x14ac:dyDescent="0.25">
      <c r="B57" s="183">
        <v>52</v>
      </c>
      <c r="C57" s="189">
        <v>88.605728865036525</v>
      </c>
      <c r="D57" s="177"/>
      <c r="E57" s="177"/>
      <c r="F57" s="177"/>
      <c r="G57" s="177"/>
      <c r="H57" s="177"/>
      <c r="I57" s="177"/>
      <c r="J57" s="177"/>
      <c r="K57" s="179"/>
    </row>
    <row r="58" spans="2:11" x14ac:dyDescent="0.25">
      <c r="B58" s="183">
        <v>53</v>
      </c>
      <c r="C58" s="189">
        <v>89.961776434122186</v>
      </c>
      <c r="D58" s="177"/>
      <c r="E58" s="177"/>
      <c r="F58" s="177"/>
      <c r="G58" s="177"/>
      <c r="H58" s="177"/>
      <c r="I58" s="177"/>
      <c r="J58" s="177"/>
      <c r="K58" s="179"/>
    </row>
    <row r="59" spans="2:11" x14ac:dyDescent="0.25">
      <c r="B59" s="183">
        <v>54</v>
      </c>
      <c r="C59" s="189">
        <v>91.450768096875635</v>
      </c>
      <c r="D59" s="177"/>
      <c r="E59" s="177"/>
      <c r="F59" s="177"/>
      <c r="G59" s="177"/>
      <c r="H59" s="177"/>
      <c r="I59" s="177"/>
      <c r="J59" s="177"/>
      <c r="K59" s="179"/>
    </row>
    <row r="60" spans="2:11" x14ac:dyDescent="0.25">
      <c r="B60" s="183">
        <v>55</v>
      </c>
      <c r="C60" s="189">
        <v>93.080725254946515</v>
      </c>
      <c r="D60" s="177"/>
      <c r="E60" s="177"/>
      <c r="F60" s="177"/>
      <c r="G60" s="177"/>
      <c r="H60" s="177"/>
      <c r="I60" s="177"/>
      <c r="J60" s="177"/>
      <c r="K60" s="179"/>
    </row>
    <row r="61" spans="2:11" x14ac:dyDescent="0.25">
      <c r="B61" s="183">
        <v>56</v>
      </c>
      <c r="C61" s="189">
        <v>94.86087859885528</v>
      </c>
      <c r="D61" s="177"/>
      <c r="E61" s="177"/>
      <c r="F61" s="177"/>
      <c r="G61" s="177"/>
      <c r="H61" s="177"/>
      <c r="I61" s="177"/>
      <c r="J61" s="177"/>
      <c r="K61" s="179"/>
    </row>
    <row r="62" spans="2:11" x14ac:dyDescent="0.25">
      <c r="B62" s="183">
        <v>57</v>
      </c>
      <c r="C62" s="189">
        <v>96.801827468957526</v>
      </c>
      <c r="D62" s="177"/>
      <c r="E62" s="177"/>
      <c r="F62" s="177"/>
      <c r="G62" s="177"/>
      <c r="H62" s="177"/>
      <c r="I62" s="177"/>
      <c r="J62" s="177"/>
      <c r="K62" s="179"/>
    </row>
    <row r="63" spans="2:11" x14ac:dyDescent="0.25">
      <c r="B63" s="183">
        <v>58</v>
      </c>
      <c r="C63" s="189">
        <v>98.9157316780271</v>
      </c>
      <c r="D63" s="177"/>
      <c r="E63" s="177"/>
      <c r="F63" s="177"/>
      <c r="G63" s="177"/>
      <c r="H63" s="177"/>
      <c r="I63" s="177"/>
      <c r="J63" s="177"/>
      <c r="K63" s="179"/>
    </row>
    <row r="64" spans="2:11" x14ac:dyDescent="0.25">
      <c r="B64" s="183">
        <v>59</v>
      </c>
      <c r="C64" s="189">
        <v>101.21654281016828</v>
      </c>
      <c r="D64" s="177"/>
      <c r="E64" s="177"/>
      <c r="F64" s="177"/>
      <c r="G64" s="177"/>
      <c r="H64" s="177"/>
      <c r="I64" s="177"/>
      <c r="J64" s="177"/>
      <c r="K64" s="179"/>
    </row>
    <row r="65" spans="2:11" x14ac:dyDescent="0.25">
      <c r="B65" s="183">
        <v>60</v>
      </c>
      <c r="C65" s="189">
        <v>103.72028392493476</v>
      </c>
      <c r="D65" s="177"/>
      <c r="E65" s="177"/>
      <c r="F65" s="177"/>
      <c r="G65" s="177"/>
      <c r="H65" s="177"/>
      <c r="I65" s="177"/>
      <c r="J65" s="177"/>
      <c r="K65" s="179"/>
    </row>
    <row r="66" spans="2:11" x14ac:dyDescent="0.25">
      <c r="B66" s="183">
        <v>61</v>
      </c>
      <c r="C66" s="189">
        <v>106.44538909710505</v>
      </c>
      <c r="D66" s="177"/>
      <c r="E66" s="177"/>
      <c r="F66" s="177"/>
      <c r="G66" s="177"/>
      <c r="H66" s="177"/>
      <c r="I66" s="177"/>
      <c r="J66" s="177"/>
      <c r="K66" s="179"/>
    </row>
    <row r="67" spans="2:11" x14ac:dyDescent="0.25">
      <c r="B67" s="183">
        <v>62</v>
      </c>
      <c r="C67" s="189">
        <v>109.41311752244189</v>
      </c>
      <c r="D67" s="177"/>
      <c r="E67" s="177"/>
      <c r="F67" s="177"/>
      <c r="G67" s="177"/>
      <c r="H67" s="177"/>
      <c r="I67" s="177"/>
      <c r="J67" s="177"/>
      <c r="K67" s="179"/>
    </row>
    <row r="68" spans="2:11" x14ac:dyDescent="0.25">
      <c r="B68" s="183">
        <v>63</v>
      </c>
      <c r="C68" s="189">
        <v>112.64806131456612</v>
      </c>
      <c r="D68" s="177"/>
      <c r="E68" s="177"/>
      <c r="F68" s="177"/>
      <c r="G68" s="177"/>
      <c r="H68" s="177"/>
      <c r="I68" s="177"/>
      <c r="J68" s="177"/>
      <c r="K68" s="179"/>
    </row>
    <row r="69" spans="2:11" x14ac:dyDescent="0.25">
      <c r="B69" s="183">
        <v>64</v>
      </c>
      <c r="C69" s="189">
        <v>116.17877202974407</v>
      </c>
      <c r="D69" s="177"/>
      <c r="E69" s="177"/>
      <c r="F69" s="177"/>
      <c r="G69" s="177"/>
      <c r="H69" s="177"/>
      <c r="I69" s="177"/>
      <c r="J69" s="177"/>
      <c r="K69" s="179"/>
    </row>
    <row r="70" spans="2:11" x14ac:dyDescent="0.25">
      <c r="B70" s="183">
        <v>65</v>
      </c>
      <c r="C70" s="189">
        <v>120.03853899237899</v>
      </c>
      <c r="D70" s="177"/>
      <c r="E70" s="177"/>
      <c r="F70" s="177"/>
      <c r="G70" s="177"/>
      <c r="H70" s="177"/>
      <c r="I70" s="177"/>
      <c r="J70" s="177"/>
      <c r="K70" s="179"/>
    </row>
    <row r="71" spans="2:11" x14ac:dyDescent="0.25">
      <c r="B71" s="183">
        <v>66</v>
      </c>
      <c r="C71" s="189">
        <v>124.26636354005574</v>
      </c>
      <c r="D71" s="177"/>
      <c r="E71" s="177"/>
      <c r="F71" s="177"/>
      <c r="G71" s="177"/>
      <c r="H71" s="177"/>
      <c r="I71" s="177"/>
      <c r="J71" s="177"/>
      <c r="K71" s="179"/>
    </row>
    <row r="72" spans="2:11" x14ac:dyDescent="0.25">
      <c r="B72" s="183">
        <v>67</v>
      </c>
      <c r="C72" s="189">
        <v>128.9081886723755</v>
      </c>
      <c r="D72" s="177"/>
      <c r="E72" s="177"/>
      <c r="F72" s="177"/>
      <c r="G72" s="177"/>
      <c r="H72" s="177"/>
      <c r="I72" s="177"/>
      <c r="J72" s="177"/>
      <c r="K72" s="179"/>
    </row>
    <row r="73" spans="2:11" x14ac:dyDescent="0.25">
      <c r="B73" s="183">
        <v>68</v>
      </c>
      <c r="C73" s="189">
        <v>134.01846523633418</v>
      </c>
      <c r="D73" s="177"/>
      <c r="E73" s="177"/>
      <c r="F73" s="177"/>
      <c r="G73" s="177"/>
      <c r="H73" s="177"/>
      <c r="I73" s="177"/>
      <c r="J73" s="177"/>
      <c r="K73" s="179"/>
    </row>
    <row r="74" spans="2:11" x14ac:dyDescent="0.25">
      <c r="B74" s="183">
        <v>69</v>
      </c>
      <c r="C74" s="189">
        <v>139.66216670502479</v>
      </c>
      <c r="D74" s="177"/>
      <c r="E74" s="177"/>
      <c r="F74" s="177"/>
      <c r="G74" s="177"/>
      <c r="H74" s="177"/>
      <c r="I74" s="177"/>
      <c r="J74" s="177"/>
      <c r="K74" s="179"/>
    </row>
    <row r="75" spans="2:11" x14ac:dyDescent="0.25">
      <c r="B75" s="183">
        <v>70</v>
      </c>
      <c r="C75" s="189">
        <v>145.91740944409764</v>
      </c>
      <c r="D75" s="177"/>
      <c r="E75" s="177"/>
      <c r="F75" s="177"/>
      <c r="G75" s="177"/>
      <c r="H75" s="177"/>
      <c r="I75" s="177"/>
      <c r="J75" s="177"/>
      <c r="K75" s="179"/>
    </row>
    <row r="76" spans="2:11" x14ac:dyDescent="0.25">
      <c r="B76" s="183">
        <v>71</v>
      </c>
      <c r="C76" s="189">
        <v>152.87890143498532</v>
      </c>
      <c r="D76" s="177"/>
      <c r="E76" s="177"/>
      <c r="F76" s="177"/>
      <c r="G76" s="177"/>
      <c r="H76" s="177"/>
      <c r="I76" s="177"/>
      <c r="J76" s="177"/>
      <c r="K76" s="179"/>
    </row>
    <row r="77" spans="2:11" x14ac:dyDescent="0.25">
      <c r="B77" s="183">
        <v>72</v>
      </c>
      <c r="C77" s="189">
        <v>160.66254153396869</v>
      </c>
      <c r="D77" s="177"/>
      <c r="E77" s="177"/>
      <c r="F77" s="177"/>
      <c r="G77" s="177"/>
      <c r="H77" s="177"/>
      <c r="I77" s="177"/>
      <c r="J77" s="177"/>
      <c r="K77" s="179"/>
    </row>
    <row r="78" spans="2:11" x14ac:dyDescent="0.25">
      <c r="B78" s="183">
        <v>73</v>
      </c>
      <c r="C78" s="189">
        <v>169.41164292463031</v>
      </c>
      <c r="D78" s="177"/>
      <c r="E78" s="177"/>
      <c r="F78" s="177"/>
      <c r="G78" s="177"/>
      <c r="H78" s="177"/>
      <c r="I78" s="177"/>
      <c r="J78" s="177"/>
      <c r="K78" s="179"/>
    </row>
    <row r="79" spans="2:11" x14ac:dyDescent="0.25">
      <c r="B79" s="183">
        <v>74</v>
      </c>
      <c r="C79" s="189">
        <v>179.30549126111057</v>
      </c>
      <c r="D79" s="177"/>
      <c r="E79" s="177"/>
      <c r="F79" s="177"/>
      <c r="G79" s="177"/>
      <c r="H79" s="177"/>
      <c r="I79" s="177"/>
      <c r="J79" s="177"/>
      <c r="K79" s="179"/>
    </row>
    <row r="80" spans="2:11" x14ac:dyDescent="0.25">
      <c r="B80" s="183">
        <v>75</v>
      </c>
      <c r="C80" s="189">
        <v>190.57132694198179</v>
      </c>
      <c r="D80" s="177"/>
      <c r="E80" s="177"/>
      <c r="F80" s="177"/>
      <c r="G80" s="177"/>
      <c r="H80" s="177"/>
      <c r="I80" s="177"/>
      <c r="J80" s="177"/>
      <c r="K80" s="179"/>
    </row>
    <row r="81" spans="2:11" x14ac:dyDescent="0.25">
      <c r="B81" s="183">
        <v>76</v>
      </c>
      <c r="C81" s="189">
        <v>203.50146350151596</v>
      </c>
      <c r="D81" s="177"/>
      <c r="E81" s="177"/>
      <c r="F81" s="177"/>
      <c r="G81" s="177"/>
      <c r="H81" s="177"/>
      <c r="I81" s="177"/>
      <c r="J81" s="177"/>
      <c r="K81" s="179"/>
    </row>
    <row r="82" spans="2:11" x14ac:dyDescent="0.25">
      <c r="B82" s="183">
        <v>77</v>
      </c>
      <c r="C82" s="189">
        <v>218.47830764492414</v>
      </c>
      <c r="D82" s="177"/>
      <c r="E82" s="177"/>
      <c r="F82" s="177"/>
      <c r="G82" s="177"/>
      <c r="H82" s="177"/>
      <c r="I82" s="177"/>
      <c r="J82" s="177"/>
      <c r="K82" s="179"/>
    </row>
    <row r="83" spans="2:11" x14ac:dyDescent="0.25">
      <c r="B83" s="183">
        <v>78</v>
      </c>
      <c r="C83" s="189">
        <v>236.01189014768721</v>
      </c>
      <c r="D83" s="177"/>
      <c r="E83" s="177"/>
      <c r="F83" s="177"/>
      <c r="G83" s="177"/>
      <c r="H83" s="177"/>
      <c r="I83" s="177"/>
      <c r="J83" s="177"/>
      <c r="K83" s="179"/>
    </row>
    <row r="84" spans="2:11" x14ac:dyDescent="0.25">
      <c r="B84" s="183">
        <v>79</v>
      </c>
      <c r="C84" s="189">
        <v>256.79786900810774</v>
      </c>
      <c r="D84" s="177"/>
      <c r="E84" s="177"/>
      <c r="F84" s="177"/>
      <c r="G84" s="177"/>
      <c r="H84" s="177"/>
      <c r="I84" s="177"/>
      <c r="J84" s="177"/>
      <c r="K84" s="179"/>
    </row>
    <row r="85" spans="2:11" x14ac:dyDescent="0.25">
      <c r="B85" s="183">
        <v>80</v>
      </c>
      <c r="C85" s="189">
        <v>281.81033536230791</v>
      </c>
      <c r="D85" s="177"/>
      <c r="E85" s="177"/>
      <c r="F85" s="177"/>
      <c r="G85" s="177"/>
      <c r="H85" s="177"/>
      <c r="I85" s="177"/>
      <c r="J85" s="177"/>
      <c r="K85" s="179"/>
    </row>
    <row r="86" spans="2:11" x14ac:dyDescent="0.25">
      <c r="B86" s="183">
        <v>81</v>
      </c>
      <c r="C86" s="189">
        <v>312.45649091013632</v>
      </c>
      <c r="D86" s="177"/>
      <c r="E86" s="177"/>
      <c r="F86" s="177"/>
      <c r="G86" s="177"/>
      <c r="H86" s="177"/>
      <c r="I86" s="177"/>
      <c r="J86" s="177"/>
      <c r="K86" s="179"/>
    </row>
    <row r="87" spans="2:11" x14ac:dyDescent="0.25">
      <c r="B87" s="183">
        <v>82</v>
      </c>
      <c r="C87" s="189">
        <v>350.84733435783869</v>
      </c>
      <c r="D87" s="177"/>
      <c r="E87" s="177"/>
      <c r="F87" s="177"/>
      <c r="G87" s="177"/>
      <c r="H87" s="177"/>
      <c r="I87" s="177"/>
      <c r="J87" s="177"/>
      <c r="K87" s="179"/>
    </row>
    <row r="88" spans="2:11" x14ac:dyDescent="0.25">
      <c r="B88" s="183">
        <v>83</v>
      </c>
      <c r="C88" s="189">
        <v>400.30036582790365</v>
      </c>
      <c r="D88" s="177"/>
      <c r="E88" s="177"/>
      <c r="F88" s="177"/>
      <c r="G88" s="177"/>
      <c r="H88" s="177"/>
      <c r="I88" s="177"/>
      <c r="J88" s="177"/>
      <c r="K88" s="179"/>
    </row>
    <row r="89" spans="2:11" x14ac:dyDescent="0.25">
      <c r="B89" s="183">
        <v>84</v>
      </c>
      <c r="C89" s="189">
        <v>466.34499679692203</v>
      </c>
      <c r="D89" s="177"/>
      <c r="E89" s="177"/>
      <c r="F89" s="177"/>
      <c r="G89" s="177"/>
      <c r="H89" s="177"/>
      <c r="I89" s="177"/>
      <c r="J89" s="177"/>
      <c r="K89" s="179"/>
    </row>
    <row r="90" spans="2:11" x14ac:dyDescent="0.25">
      <c r="B90" s="183">
        <v>85</v>
      </c>
      <c r="C90" s="189">
        <v>558.93445323051765</v>
      </c>
      <c r="D90" s="177"/>
      <c r="E90" s="177"/>
      <c r="F90" s="177"/>
      <c r="G90" s="177"/>
      <c r="H90" s="177"/>
      <c r="I90" s="177"/>
      <c r="J90" s="177"/>
      <c r="K90" s="179"/>
    </row>
    <row r="91" spans="2:11" x14ac:dyDescent="0.25">
      <c r="B91" s="183">
        <v>86</v>
      </c>
      <c r="C91" s="189">
        <v>697.97553493508258</v>
      </c>
      <c r="D91" s="177"/>
      <c r="E91" s="177"/>
      <c r="F91" s="177"/>
      <c r="G91" s="177"/>
      <c r="H91" s="177"/>
      <c r="I91" s="177"/>
      <c r="J91" s="177"/>
      <c r="K91" s="179"/>
    </row>
    <row r="92" spans="2:11" x14ac:dyDescent="0.25">
      <c r="B92" s="183">
        <v>87</v>
      </c>
      <c r="C92" s="189">
        <v>929.91789554757861</v>
      </c>
      <c r="D92" s="177"/>
      <c r="E92" s="177"/>
      <c r="F92" s="177"/>
      <c r="G92" s="177"/>
      <c r="H92" s="177"/>
      <c r="I92" s="177"/>
      <c r="J92" s="177"/>
      <c r="K92" s="179"/>
    </row>
    <row r="93" spans="2:11" x14ac:dyDescent="0.25">
      <c r="B93" s="183">
        <v>88</v>
      </c>
      <c r="C93" s="189">
        <v>1394.111165291609</v>
      </c>
      <c r="D93" s="177"/>
      <c r="E93" s="177"/>
      <c r="F93" s="177"/>
      <c r="G93" s="177"/>
      <c r="H93" s="177"/>
      <c r="I93" s="177"/>
      <c r="J93" s="177"/>
      <c r="K93" s="179"/>
    </row>
    <row r="94" spans="2:11" x14ac:dyDescent="0.25">
      <c r="B94" s="183">
        <v>89</v>
      </c>
      <c r="C94" s="189">
        <v>2787.3048156947793</v>
      </c>
      <c r="D94" s="177"/>
      <c r="E94" s="177"/>
      <c r="F94" s="177"/>
      <c r="G94" s="177"/>
      <c r="H94" s="177"/>
      <c r="I94" s="177"/>
      <c r="J94" s="177"/>
      <c r="K94" s="179"/>
    </row>
    <row r="95" spans="2:11" x14ac:dyDescent="0.25">
      <c r="B95" s="185"/>
      <c r="C95" s="177"/>
      <c r="D95" s="177"/>
      <c r="E95" s="177"/>
      <c r="F95" s="177"/>
      <c r="G95" s="177"/>
      <c r="H95" s="177"/>
      <c r="I95" s="177"/>
      <c r="J95" s="177"/>
      <c r="K95" s="179"/>
    </row>
    <row r="96" spans="2:11" ht="15.75" thickBot="1" x14ac:dyDescent="0.3">
      <c r="B96" s="186"/>
      <c r="C96" s="187"/>
      <c r="D96" s="187"/>
      <c r="E96" s="187"/>
      <c r="F96" s="187"/>
      <c r="G96" s="187"/>
      <c r="H96" s="187"/>
      <c r="I96" s="187"/>
      <c r="J96" s="187"/>
      <c r="K96" s="188"/>
    </row>
  </sheetData>
  <mergeCells count="2">
    <mergeCell ref="I7:J7"/>
    <mergeCell ref="M3:R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YieldLineAnalysisCalculations">
                <anchor moveWithCells="1" sizeWithCells="1">
                  <from>
                    <xdr:col>6</xdr:col>
                    <xdr:colOff>400050</xdr:colOff>
                    <xdr:row>3</xdr:row>
                    <xdr:rowOff>9525</xdr:rowOff>
                  </from>
                  <to>
                    <xdr:col>8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YLAClear">
                <anchor moveWithCells="1" sizeWithCells="1">
                  <from>
                    <xdr:col>7</xdr:col>
                    <xdr:colOff>28575</xdr:colOff>
                    <xdr:row>9</xdr:row>
                    <xdr:rowOff>0</xdr:rowOff>
                  </from>
                  <to>
                    <xdr:col>8</xdr:col>
                    <xdr:colOff>47625</xdr:colOff>
                    <xdr:row>10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Section</vt:lpstr>
      <vt:lpstr>Reinforcement</vt:lpstr>
      <vt:lpstr>Loads</vt:lpstr>
      <vt:lpstr>Materials</vt:lpstr>
      <vt:lpstr>AASHTO</vt:lpstr>
      <vt:lpstr>Yield Line Analysis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alijebril</dc:creator>
  <cp:keywords/>
  <dc:description/>
  <cp:lastModifiedBy>Ali Jebril</cp:lastModifiedBy>
  <cp:revision/>
  <dcterms:created xsi:type="dcterms:W3CDTF">2025-10-25T20:09:38Z</dcterms:created>
  <dcterms:modified xsi:type="dcterms:W3CDTF">2026-01-14T05:47:19Z</dcterms:modified>
  <cp:category/>
  <cp:contentStatus/>
</cp:coreProperties>
</file>